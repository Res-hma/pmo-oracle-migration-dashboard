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ter" sheetId="1" state="visible" r:id="rId3"/>
    <sheet name="WBS_Schedule" sheetId="2" state="visible" r:id="rId4"/>
    <sheet name="Gantt" sheetId="3" state="visible" r:id="rId5"/>
    <sheet name="Milest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<sst xmlns="http://schemas.openxmlformats.org/spreadsheetml/2006/main" count="203" uniqueCount="127">
  <si>
    <t xml:space="preserve">PROJECT CHARTER</t>
  </si>
  <si>
    <t xml:space="preserve">Simulated project for portfolio purposes, based on Oracle database operations experience. All figures are illustrative assumptions.</t>
  </si>
  <si>
    <t xml:space="preserve">Project Title</t>
  </si>
  <si>
    <t xml:space="preserve">Oracle 21c Database Migration &amp; Upgrade Program</t>
  </si>
  <si>
    <t xml:space="preserve">Objective</t>
  </si>
  <si>
    <t xml:space="preserve">Migrate the company's production Oracle databases from legacy on-premise servers to a new Oracle 21c environment with zero data loss and less than 4 hours of planned downtime.</t>
  </si>
  <si>
    <t xml:space="preserve">In Scope</t>
  </si>
  <si>
    <t xml:space="preserve">Assessment of 12 databases, new server setup, data migration, backup and recovery configuration, user access migration, testing, go-live, and handover.</t>
  </si>
  <si>
    <t xml:space="preserve">Out of Scope</t>
  </si>
  <si>
    <t xml:space="preserve">Application code changes, hardware procurement, and end-user training.</t>
  </si>
  <si>
    <t xml:space="preserve">Key Deliverables</t>
  </si>
  <si>
    <t xml:space="preserve">Assessment report, migration plan, configured 21c environment, tested backup/recovery, UAT sign-off, go-live, and a handover document.</t>
  </si>
  <si>
    <t xml:space="preserve">Project Start Date</t>
  </si>
  <si>
    <t xml:space="preserve">Project End Date</t>
  </si>
  <si>
    <t xml:space="preserve">Duration (weeks)</t>
  </si>
  <si>
    <t xml:space="preserve">Budget (INR)</t>
  </si>
  <si>
    <t xml:space="preserve">Overall % Complete</t>
  </si>
  <si>
    <t xml:space="preserve">Success Criteria</t>
  </si>
  <si>
    <t xml:space="preserve">No data loss; downtime under 4 hours; delivered within 5% of budget; UAT passed with zero critical defects.</t>
  </si>
  <si>
    <t xml:space="preserve">Key Risks</t>
  </si>
  <si>
    <t xml:space="preserve">Data corruption during migration, downtime overrun, resource unavailability, compatibility issues.</t>
  </si>
  <si>
    <t xml:space="preserve">STAKEHOLDERS</t>
  </si>
  <si>
    <t xml:space="preserve">Role</t>
  </si>
  <si>
    <t xml:space="preserve">Responsibility</t>
  </si>
  <si>
    <t xml:space="preserve">Sponsor</t>
  </si>
  <si>
    <t xml:space="preserve">Approves budget and scope</t>
  </si>
  <si>
    <t xml:space="preserve">Project Manager</t>
  </si>
  <si>
    <t xml:space="preserve">Plans, tracks, and reports</t>
  </si>
  <si>
    <t xml:space="preserve">DBA Lead</t>
  </si>
  <si>
    <t xml:space="preserve">Technical migration</t>
  </si>
  <si>
    <t xml:space="preserve">Application Owner</t>
  </si>
  <si>
    <t xml:space="preserve">UAT and sign-off</t>
  </si>
  <si>
    <t xml:space="preserve">Infrastructure Team</t>
  </si>
  <si>
    <t xml:space="preserve">Servers and network</t>
  </si>
  <si>
    <t xml:space="preserve">LEGEND &amp; ASSUMPTIONS</t>
  </si>
  <si>
    <t xml:space="preserve">Blue text on yellow</t>
  </si>
  <si>
    <t xml:space="preserve">Input cells you can edit: Project Start Date, Budget, and on the WBS_Schedule sheet the Duration, Depends On and % Complete columns. Everything else recalculates automatically.</t>
  </si>
  <si>
    <t xml:space="preserve">Green text</t>
  </si>
  <si>
    <t xml:space="preserve">Values pulled from another sheet.</t>
  </si>
  <si>
    <t xml:space="preserve">Assumption</t>
  </si>
  <si>
    <t xml:space="preserve">Durations are in working days (Mon-Fri); weekends are skipped and public holidays are not modelled.</t>
  </si>
  <si>
    <t xml:space="preserve">Budget (INR 25,00,000), timeline and scope are illustrative assumptions for this simulated project.</t>
  </si>
  <si>
    <t xml:space="preserve">Tasks run one after another, so every task is on the critical path: any delay moves the Go-live date.</t>
  </si>
  <si>
    <t xml:space="preserve">WORK BREAKDOWN STRUCTURE &amp; SCHEDULE</t>
  </si>
  <si>
    <t xml:space="preserve">Edit the blue cells (Duration, Depends On, % Complete). Start and End dates calculate automatically from the dependency chain and the project start date on the Charter sheet.</t>
  </si>
  <si>
    <t xml:space="preserve">ID</t>
  </si>
  <si>
    <t xml:space="preserve">Task</t>
  </si>
  <si>
    <t xml:space="preserve">Phase</t>
  </si>
  <si>
    <t xml:space="preserve">Owner</t>
  </si>
  <si>
    <t xml:space="preserve">Start</t>
  </si>
  <si>
    <t xml:space="preserve">End</t>
  </si>
  <si>
    <t xml:space="preserve">Duration (working days)</t>
  </si>
  <si>
    <t xml:space="preserve">Depends On</t>
  </si>
  <si>
    <t xml:space="preserve">% Complete</t>
  </si>
  <si>
    <t xml:space="preserve">Milestone</t>
  </si>
  <si>
    <t xml:space="preserve">Critical Path</t>
  </si>
  <si>
    <t xml:space="preserve">1.1</t>
  </si>
  <si>
    <t xml:space="preserve">Kickoff and charter approval</t>
  </si>
  <si>
    <t xml:space="preserve">Planning</t>
  </si>
  <si>
    <t xml:space="preserve">-</t>
  </si>
  <si>
    <t xml:space="preserve">Yes</t>
  </si>
  <si>
    <t xml:space="preserve">1.2</t>
  </si>
  <si>
    <t xml:space="preserve">Assess current databases</t>
  </si>
  <si>
    <t xml:space="preserve">1.3</t>
  </si>
  <si>
    <t xml:space="preserve">Prepare migration plan</t>
  </si>
  <si>
    <t xml:space="preserve">2.1</t>
  </si>
  <si>
    <t xml:space="preserve">Set up new servers</t>
  </si>
  <si>
    <t xml:space="preserve">Setup</t>
  </si>
  <si>
    <t xml:space="preserve">2.2</t>
  </si>
  <si>
    <t xml:space="preserve">Install Oracle 21c</t>
  </si>
  <si>
    <t xml:space="preserve">2.3</t>
  </si>
  <si>
    <t xml:space="preserve">Configure backup and recovery</t>
  </si>
  <si>
    <t xml:space="preserve">3.1</t>
  </si>
  <si>
    <t xml:space="preserve">Migrate test database</t>
  </si>
  <si>
    <t xml:space="preserve">Migration</t>
  </si>
  <si>
    <t xml:space="preserve">3.2</t>
  </si>
  <si>
    <t xml:space="preserve">Validate data integrity</t>
  </si>
  <si>
    <t xml:space="preserve">3.3</t>
  </si>
  <si>
    <t xml:space="preserve">Migrate user access and roles</t>
  </si>
  <si>
    <t xml:space="preserve">4.1</t>
  </si>
  <si>
    <t xml:space="preserve">Performance testing</t>
  </si>
  <si>
    <t xml:space="preserve">Testing</t>
  </si>
  <si>
    <t xml:space="preserve">4.2</t>
  </si>
  <si>
    <t xml:space="preserve">User acceptance testing (UAT)</t>
  </si>
  <si>
    <t xml:space="preserve">4.3</t>
  </si>
  <si>
    <t xml:space="preserve">Fix defects and retest</t>
  </si>
  <si>
    <t xml:space="preserve">5.1</t>
  </si>
  <si>
    <t xml:space="preserve">Go-live cutover</t>
  </si>
  <si>
    <t xml:space="preserve">Go-Live</t>
  </si>
  <si>
    <t xml:space="preserve">5.2</t>
  </si>
  <si>
    <t xml:space="preserve">Post go-live monitoring</t>
  </si>
  <si>
    <t xml:space="preserve">6.1</t>
  </si>
  <si>
    <t xml:space="preserve">Handover and documentation</t>
  </si>
  <si>
    <t xml:space="preserve">Handover</t>
  </si>
  <si>
    <t xml:space="preserve">6.2</t>
  </si>
  <si>
    <t xml:space="preserve">Project closure and lessons learned</t>
  </si>
  <si>
    <t xml:space="preserve">Total working days / project span</t>
  </si>
  <si>
    <t xml:space="preserve">Critical Path = 'Yes' for all tasks because each task depends on the one before it (assumption).</t>
  </si>
  <si>
    <t xml:space="preserve">GANTT CHART: Oracle 21c Database Migration &amp; Upgrade Program</t>
  </si>
  <si>
    <t xml:space="preserve">Chart updates automatically from the WBS_Schedule sheet. Columns are weeks (week-start date shown). Diamond = milestone.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</si>
  <si>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</si>
  <si>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</si>
  <si>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</si>
  <si>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</si>
  <si>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</si>
  <si>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</si>
  <si>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</si>
  <si>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</si>
  <si>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</si>
  <si>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W10</t>
  </si>
  <si>
    <t xml:space="preserve">W11</t>
  </si>
  <si>
    <t xml:space="preserve">W12</t>
  </si>
  <si>
    <t xml:space="preserve">W13</t>
  </si>
  <si>
    <t xml:space="preserve">W14</t>
  </si>
  <si>
    <t xml:space="preserve">Legend (phase colours)</t>
  </si>
  <si>
    <t xml:space="preserve">◆ Milestone</t>
  </si>
  <si>
    <t xml:space="preserve">MILESTONE TRACKER</t>
  </si>
  <si>
    <t xml:space="preserve">A milestone is reached when its linked task finishes. Change the Linked Task ID (blue) to move a milestone.</t>
  </si>
  <si>
    <t xml:space="preserve">Linked Task ID</t>
  </si>
  <si>
    <t xml:space="preserve">Linked Task</t>
  </si>
  <si>
    <t xml:space="preserve">Target Date</t>
  </si>
  <si>
    <t xml:space="preserve">Status</t>
  </si>
  <si>
    <t xml:space="preserve">Plan approved</t>
  </si>
  <si>
    <t xml:space="preserve">Environment ready</t>
  </si>
  <si>
    <t xml:space="preserve">UAT sign-off</t>
  </si>
  <si>
    <t xml:space="preserve">Go-live</t>
  </si>
  <si>
    <t xml:space="preserve">Project closed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</si>
</sst>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-mmm\-yyyy"/>
    <numFmt numFmtId="166" formatCode="0"/>
    <numFmt numFmtId="167" formatCode="[&gt;=10000000]\₹##\,##\,##\,##0;[&gt;=100000]\₹##\,##\,##0;\₹##,##0"/>
    <numFmt numFmtId="168" formatCode="0.0%"/>
    <numFmt numFmtId="169" formatCode="0%"/>
    <numFmt numFmtId="170" formatCode="General"/>
    <numFmt numFmtId="171" formatCode="dd\-mmm"/>
    <numFmt numFmtId="172" formatCode="dd\-mmm\-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1F4E79"/>
        <bgColor rgb="FF1F3864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BF8F00"/>
        <bgColor rgb="FFFF6600"/>
      </patternFill>
    </fill>
    <fill>
      <patternFill patternType="solid">
        <fgColor rgb="FFC00000"/>
        <bgColor rgb="FF800000"/>
      </patternFill>
    </fill>
    <fill>
      <patternFill patternType="solid">
        <fgColor rgb="FF7F7F7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9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0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9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10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2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1F4E79"/>
        </patternFill>
      </fill>
    </dxf>
    <dxf>
      <fill>
        <patternFill>
          <bgColor rgb="FF2E75B6"/>
        </patternFill>
      </fill>
    </dxf>
    <dxf>
      <fill>
        <patternFill>
          <bgColor rgb="FF548235"/>
        </patternFill>
      </fill>
    </dxf>
    <dxf>
      <fill>
        <patternFill>
          <bgColor rgb="FFBF8F00"/>
        </patternFill>
      </fill>
    </dxf>
    <dxf>
      <fill>
        <patternFill>
          <bgColor rgb="FFC00000"/>
        </patternFill>
      </fill>
    </dxf>
    <dxf>
      <fill>
        <patternFill>
          <bgColor rgb="FF7F7F7F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8"/>
  </cols>
  <sheetData>
    <row r="1" customFormat="false" ht="30" hidden="false" customHeight="true" outlineLevel="0" collapsed="false">
      <c r="A1" s="1" t="s">
        <v>0</v>
      </c>
      <c r="B1" s="1"/>
    </row>
    <row r="2" customFormat="false" ht="25.5" hidden="false" customHeight="true" outlineLevel="0" collapsed="false">
      <c r="A2" s="2" t="s">
        <v>1</v>
      </c>
      <c r="B2" s="2"/>
    </row>
    <row r="4" customFormat="false" ht="19.5" hidden="false" customHeight="true" outlineLevel="0" collapsed="false">
      <c r="A4" s="3" t="s">
        <v>2</v>
      </c>
      <c r="B4" s="4" t="s">
        <v>3</v>
      </c>
    </row>
    <row r="5" customFormat="false" ht="43.5" hidden="false" customHeight="true" outlineLevel="0" collapsed="false">
      <c r="A5" s="3" t="s">
        <v>4</v>
      </c>
      <c r="B5" s="5" t="s">
        <v>5</v>
      </c>
    </row>
    <row r="6" customFormat="false" ht="43.5" hidden="false" customHeight="true" outlineLevel="0" collapsed="false">
      <c r="A6" s="3" t="s">
        <v>6</v>
      </c>
      <c r="B6" s="5" t="s">
        <v>7</v>
      </c>
    </row>
    <row r="7" customFormat="false" ht="19.5" hidden="false" customHeight="true" outlineLevel="0" collapsed="false">
      <c r="A7" s="3" t="s">
        <v>8</v>
      </c>
      <c r="B7" s="5" t="s">
        <v>9</v>
      </c>
    </row>
    <row r="8" customFormat="false" ht="31.5" hidden="false" customHeight="true" outlineLevel="0" collapsed="false">
      <c r="A8" s="3" t="s">
        <v>10</v>
      </c>
      <c r="B8" s="5" t="s">
        <v>11</v>
      </c>
    </row>
    <row r="9" customFormat="false" ht="15" hidden="false" customHeight="false" outlineLevel="0" collapsed="false">
      <c r="A9" s="3" t="s">
        <v>12</v>
      </c>
      <c r="B9" s="6" t="n">
        <v>46328</v>
      </c>
    </row>
    <row r="10" customFormat="false" ht="15" hidden="false" customHeight="false" outlineLevel="0" collapsed="false">
      <c r="A10" s="3" t="s">
        <v>13</v>
      </c>
      <c r="B10" s="7" t="n">
        <f aca="false">MAX(WBS_Schedule!F5:F20)</f>
        <v>46409</v>
      </c>
    </row>
    <row r="11" customFormat="false" ht="15" hidden="false" customHeight="false" outlineLevel="0" collapsed="false">
      <c r="A11" s="3" t="s">
        <v>14</v>
      </c>
      <c r="B11" s="8" t="n">
        <f aca="false">ROUNDUP((B10-B9+1)/7,0)</f>
        <v>12</v>
      </c>
    </row>
    <row r="12" customFormat="false" ht="15" hidden="false" customHeight="false" outlineLevel="0" collapsed="false">
      <c r="A12" s="3" t="s">
        <v>15</v>
      </c>
      <c r="B12" s="9" t="n">
        <v>2500000</v>
      </c>
    </row>
    <row r="13" customFormat="false" ht="15" hidden="false" customHeight="false" outlineLevel="0" collapsed="false">
      <c r="A13" s="3" t="s">
        <v>16</v>
      </c>
      <c r="B13" s="10" t="n">
        <f aca="false">SUMPRODUCT(WBS_Schedule!G5:G20,WBS_Schedule!I5:I20)/SUM(WBS_Schedule!G5:G20)</f>
        <v>0</v>
      </c>
    </row>
    <row r="14" customFormat="false" ht="31.5" hidden="false" customHeight="true" outlineLevel="0" collapsed="false">
      <c r="A14" s="3" t="s">
        <v>17</v>
      </c>
      <c r="B14" s="5" t="s">
        <v>18</v>
      </c>
    </row>
    <row r="15" customFormat="false" ht="31.5" hidden="false" customHeight="true" outlineLevel="0" collapsed="false">
      <c r="A15" s="3" t="s">
        <v>19</v>
      </c>
      <c r="B15" s="5" t="s">
        <v>20</v>
      </c>
    </row>
    <row r="17" customFormat="false" ht="15" hidden="false" customHeight="false" outlineLevel="0" collapsed="false">
      <c r="A17" s="11" t="s">
        <v>21</v>
      </c>
    </row>
    <row r="18" customFormat="false" ht="15" hidden="false" customHeight="false" outlineLevel="0" collapsed="false">
      <c r="A18" s="12" t="s">
        <v>22</v>
      </c>
      <c r="B18" s="12" t="s">
        <v>23</v>
      </c>
    </row>
    <row r="19" customFormat="false" ht="15" hidden="false" customHeight="false" outlineLevel="0" collapsed="false">
      <c r="A19" s="13" t="s">
        <v>24</v>
      </c>
      <c r="B19" s="14" t="s">
        <v>25</v>
      </c>
    </row>
    <row r="20" customFormat="false" ht="15" hidden="false" customHeight="false" outlineLevel="0" collapsed="false">
      <c r="A20" s="13" t="s">
        <v>26</v>
      </c>
      <c r="B20" s="14" t="s">
        <v>27</v>
      </c>
    </row>
    <row r="21" customFormat="false" ht="15" hidden="false" customHeight="false" outlineLevel="0" collapsed="false">
      <c r="A21" s="13" t="s">
        <v>28</v>
      </c>
      <c r="B21" s="14" t="s">
        <v>29</v>
      </c>
    </row>
    <row r="22" customFormat="false" ht="15" hidden="false" customHeight="false" outlineLevel="0" collapsed="false">
      <c r="A22" s="13" t="s">
        <v>30</v>
      </c>
      <c r="B22" s="14" t="s">
        <v>31</v>
      </c>
    </row>
    <row r="23" customFormat="false" ht="15" hidden="false" customHeight="false" outlineLevel="0" collapsed="false">
      <c r="A23" s="13" t="s">
        <v>32</v>
      </c>
      <c r="B23" s="14" t="s">
        <v>33</v>
      </c>
    </row>
    <row r="25" customFormat="false" ht="15" hidden="false" customHeight="false" outlineLevel="0" collapsed="false">
      <c r="A25" s="11" t="s">
        <v>34</v>
      </c>
    </row>
    <row r="26" customFormat="false" ht="33.75" hidden="false" customHeight="true" outlineLevel="0" collapsed="false">
      <c r="A26" s="15" t="s">
        <v>35</v>
      </c>
      <c r="B26" s="16" t="s">
        <v>36</v>
      </c>
    </row>
    <row r="27" customFormat="false" ht="15" hidden="false" customHeight="false" outlineLevel="0" collapsed="false">
      <c r="A27" s="17" t="s">
        <v>37</v>
      </c>
      <c r="B27" s="16" t="s">
        <v>38</v>
      </c>
    </row>
    <row r="28" customFormat="false" ht="25.5" hidden="false" customHeight="true" outlineLevel="0" collapsed="false">
      <c r="A28" s="18" t="s">
        <v>39</v>
      </c>
      <c r="B28" s="16" t="s">
        <v>40</v>
      </c>
    </row>
    <row r="29" customFormat="false" ht="25.5" hidden="false" customHeight="true" outlineLevel="0" collapsed="false">
      <c r="A29" s="18" t="s">
        <v>39</v>
      </c>
      <c r="B29" s="16" t="s">
        <v>41</v>
      </c>
    </row>
    <row r="30" customFormat="false" ht="25.5" hidden="false" customHeight="true" outlineLevel="0" collapsed="false">
      <c r="A30" s="18" t="s">
        <v>39</v>
      </c>
      <c r="B30" s="16" t="s">
        <v>42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13"/>
    <col collapsed="false" customWidth="true" hidden="false" outlineLevel="0" max="4" min="4" style="0" width="21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20"/>
    <col collapsed="false" customWidth="true" hidden="false" outlineLevel="0" max="11" min="11" style="0" width="11"/>
  </cols>
  <sheetData>
    <row r="1" customFormat="false" ht="30" hidden="false" customHeight="true" outlineLevel="0" collapsed="false">
      <c r="A1" s="19" t="s">
        <v>43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25.5" hidden="false" customHeight="true" outlineLevel="0" collapsed="false">
      <c r="A2" s="2" t="s">
        <v>44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3.75" hidden="false" customHeight="true" outlineLevel="0" collapsed="false">
      <c r="A4" s="12" t="s">
        <v>45</v>
      </c>
      <c r="B4" s="12" t="s">
        <v>46</v>
      </c>
      <c r="C4" s="12" t="s">
        <v>47</v>
      </c>
      <c r="D4" s="12" t="s">
        <v>48</v>
      </c>
      <c r="E4" s="12" t="s">
        <v>49</v>
      </c>
      <c r="F4" s="12" t="s">
        <v>50</v>
      </c>
      <c r="G4" s="12" t="s">
        <v>51</v>
      </c>
      <c r="H4" s="12" t="s">
        <v>52</v>
      </c>
      <c r="I4" s="12" t="s">
        <v>53</v>
      </c>
      <c r="J4" s="12" t="s">
        <v>54</v>
      </c>
      <c r="K4" s="12" t="s">
        <v>55</v>
      </c>
    </row>
    <row r="5" customFormat="false" ht="19.5" hidden="false" customHeight="true" outlineLevel="0" collapsed="false">
      <c r="A5" s="20" t="s">
        <v>56</v>
      </c>
      <c r="B5" s="21" t="s">
        <v>57</v>
      </c>
      <c r="C5" s="22" t="s">
        <v>58</v>
      </c>
      <c r="D5" s="21" t="s">
        <v>26</v>
      </c>
      <c r="E5" s="23" t="n">
        <f aca="false">WORKDAY(Charter!$B$9-1,1)</f>
        <v>46328</v>
      </c>
      <c r="F5" s="24" t="n">
        <f aca="false">WORKDAY(E5,G5-1)</f>
        <v>46329</v>
      </c>
      <c r="G5" s="25" t="n">
        <v>2</v>
      </c>
      <c r="H5" s="25" t="s">
        <v>59</v>
      </c>
      <c r="I5" s="26" t="n">
        <v>0</v>
      </c>
      <c r="J5" s="27" t="str">
        <f aca="false">IFERROR(INDEX(Milestones!$A$5:$A$9,MATCH(A5,Milestones!$B$5:$B$9,0)),"")</f>
        <v/>
      </c>
      <c r="K5" s="28" t="s">
        <v>60</v>
      </c>
    </row>
    <row r="6" customFormat="false" ht="19.5" hidden="false" customHeight="true" outlineLevel="0" collapsed="false">
      <c r="A6" s="20" t="s">
        <v>61</v>
      </c>
      <c r="B6" s="21" t="s">
        <v>62</v>
      </c>
      <c r="C6" s="22" t="s">
        <v>58</v>
      </c>
      <c r="D6" s="21" t="s">
        <v>28</v>
      </c>
      <c r="E6" s="24" t="n">
        <f aca="false">WORKDAY(INDEX($F$5:$F$20,MATCH(H6,$A$5:$A$20,0)),1)</f>
        <v>46330</v>
      </c>
      <c r="F6" s="24" t="n">
        <f aca="false">WORKDAY(E6,G6-1)</f>
        <v>46336</v>
      </c>
      <c r="G6" s="25" t="n">
        <v>5</v>
      </c>
      <c r="H6" s="25" t="s">
        <v>56</v>
      </c>
      <c r="I6" s="26" t="n">
        <v>0</v>
      </c>
      <c r="J6" s="27" t="str">
        <f aca="false">IFERROR(INDEX(Milestones!$A$5:$A$9,MATCH(A6,Milestones!$B$5:$B$9,0)),"")</f>
        <v/>
      </c>
      <c r="K6" s="28" t="s">
        <v>60</v>
      </c>
    </row>
    <row r="7" customFormat="false" ht="19.5" hidden="false" customHeight="true" outlineLevel="0" collapsed="false">
      <c r="A7" s="20" t="s">
        <v>63</v>
      </c>
      <c r="B7" s="21" t="s">
        <v>64</v>
      </c>
      <c r="C7" s="22" t="s">
        <v>58</v>
      </c>
      <c r="D7" s="21" t="s">
        <v>28</v>
      </c>
      <c r="E7" s="24" t="n">
        <f aca="false">WORKDAY(INDEX($F$5:$F$20,MATCH(H7,$A$5:$A$20,0)),1)</f>
        <v>46337</v>
      </c>
      <c r="F7" s="24" t="n">
        <f aca="false">WORKDAY(E7,G7-1)</f>
        <v>46342</v>
      </c>
      <c r="G7" s="25" t="n">
        <v>4</v>
      </c>
      <c r="H7" s="25" t="s">
        <v>61</v>
      </c>
      <c r="I7" s="26" t="n">
        <v>0</v>
      </c>
      <c r="J7" s="27" t="str">
        <f aca="false">IFERROR(INDEX(Milestones!$A$5:$A$9,MATCH(A7,Milestones!$B$5:$B$9,0)),"")</f>
        <v>Plan approved</v>
      </c>
      <c r="K7" s="28" t="s">
        <v>60</v>
      </c>
    </row>
    <row r="8" customFormat="false" ht="19.5" hidden="false" customHeight="true" outlineLevel="0" collapsed="false">
      <c r="A8" s="20" t="s">
        <v>65</v>
      </c>
      <c r="B8" s="21" t="s">
        <v>66</v>
      </c>
      <c r="C8" s="22" t="s">
        <v>67</v>
      </c>
      <c r="D8" s="21" t="s">
        <v>32</v>
      </c>
      <c r="E8" s="24" t="n">
        <f aca="false">WORKDAY(INDEX($F$5:$F$20,MATCH(H8,$A$5:$A$20,0)),1)</f>
        <v>46343</v>
      </c>
      <c r="F8" s="24" t="n">
        <f aca="false">WORKDAY(E8,G8-1)</f>
        <v>46349</v>
      </c>
      <c r="G8" s="25" t="n">
        <v>5</v>
      </c>
      <c r="H8" s="25" t="s">
        <v>63</v>
      </c>
      <c r="I8" s="26" t="n">
        <v>0</v>
      </c>
      <c r="J8" s="27" t="str">
        <f aca="false">IFERROR(INDEX(Milestones!$A$5:$A$9,MATCH(A8,Milestones!$B$5:$B$9,0)),"")</f>
        <v/>
      </c>
      <c r="K8" s="28" t="s">
        <v>60</v>
      </c>
    </row>
    <row r="9" customFormat="false" ht="19.5" hidden="false" customHeight="true" outlineLevel="0" collapsed="false">
      <c r="A9" s="20" t="s">
        <v>68</v>
      </c>
      <c r="B9" s="21" t="s">
        <v>69</v>
      </c>
      <c r="C9" s="22" t="s">
        <v>67</v>
      </c>
      <c r="D9" s="21" t="s">
        <v>28</v>
      </c>
      <c r="E9" s="24" t="n">
        <f aca="false">WORKDAY(INDEX($F$5:$F$20,MATCH(H9,$A$5:$A$20,0)),1)</f>
        <v>46350</v>
      </c>
      <c r="F9" s="24" t="n">
        <f aca="false">WORKDAY(E9,G9-1)</f>
        <v>46352</v>
      </c>
      <c r="G9" s="25" t="n">
        <v>3</v>
      </c>
      <c r="H9" s="25" t="s">
        <v>65</v>
      </c>
      <c r="I9" s="26" t="n">
        <v>0</v>
      </c>
      <c r="J9" s="27" t="str">
        <f aca="false">IFERROR(INDEX(Milestones!$A$5:$A$9,MATCH(A9,Milestones!$B$5:$B$9,0)),"")</f>
        <v/>
      </c>
      <c r="K9" s="28" t="s">
        <v>60</v>
      </c>
    </row>
    <row r="10" customFormat="false" ht="19.5" hidden="false" customHeight="true" outlineLevel="0" collapsed="false">
      <c r="A10" s="20" t="s">
        <v>70</v>
      </c>
      <c r="B10" s="21" t="s">
        <v>71</v>
      </c>
      <c r="C10" s="22" t="s">
        <v>67</v>
      </c>
      <c r="D10" s="21" t="s">
        <v>28</v>
      </c>
      <c r="E10" s="24" t="n">
        <f aca="false">WORKDAY(INDEX($F$5:$F$20,MATCH(H10,$A$5:$A$20,0)),1)</f>
        <v>46353</v>
      </c>
      <c r="F10" s="24" t="n">
        <f aca="false">WORKDAY(E10,G10-1)</f>
        <v>46358</v>
      </c>
      <c r="G10" s="25" t="n">
        <v>4</v>
      </c>
      <c r="H10" s="25" t="s">
        <v>68</v>
      </c>
      <c r="I10" s="26" t="n">
        <v>0</v>
      </c>
      <c r="J10" s="27" t="str">
        <f aca="false">IFERROR(INDEX(Milestones!$A$5:$A$9,MATCH(A10,Milestones!$B$5:$B$9,0)),"")</f>
        <v>Environment ready</v>
      </c>
      <c r="K10" s="28" t="s">
        <v>60</v>
      </c>
    </row>
    <row r="11" customFormat="false" ht="19.5" hidden="false" customHeight="true" outlineLevel="0" collapsed="false">
      <c r="A11" s="20" t="s">
        <v>72</v>
      </c>
      <c r="B11" s="21" t="s">
        <v>73</v>
      </c>
      <c r="C11" s="22" t="s">
        <v>74</v>
      </c>
      <c r="D11" s="21" t="s">
        <v>28</v>
      </c>
      <c r="E11" s="24" t="n">
        <f aca="false">WORKDAY(INDEX($F$5:$F$20,MATCH(H11,$A$5:$A$20,0)),1)</f>
        <v>46359</v>
      </c>
      <c r="F11" s="24" t="n">
        <f aca="false">WORKDAY(E11,G11-1)</f>
        <v>46365</v>
      </c>
      <c r="G11" s="25" t="n">
        <v>5</v>
      </c>
      <c r="H11" s="25" t="s">
        <v>70</v>
      </c>
      <c r="I11" s="26" t="n">
        <v>0</v>
      </c>
      <c r="J11" s="27" t="str">
        <f aca="false">IFERROR(INDEX(Milestones!$A$5:$A$9,MATCH(A11,Milestones!$B$5:$B$9,0)),"")</f>
        <v/>
      </c>
      <c r="K11" s="28" t="s">
        <v>60</v>
      </c>
    </row>
    <row r="12" customFormat="false" ht="19.5" hidden="false" customHeight="true" outlineLevel="0" collapsed="false">
      <c r="A12" s="20" t="s">
        <v>75</v>
      </c>
      <c r="B12" s="21" t="s">
        <v>76</v>
      </c>
      <c r="C12" s="22" t="s">
        <v>74</v>
      </c>
      <c r="D12" s="21" t="s">
        <v>28</v>
      </c>
      <c r="E12" s="24" t="n">
        <f aca="false">WORKDAY(INDEX($F$5:$F$20,MATCH(H12,$A$5:$A$20,0)),1)</f>
        <v>46366</v>
      </c>
      <c r="F12" s="24" t="n">
        <f aca="false">WORKDAY(E12,G12-1)</f>
        <v>46371</v>
      </c>
      <c r="G12" s="25" t="n">
        <v>4</v>
      </c>
      <c r="H12" s="25" t="s">
        <v>72</v>
      </c>
      <c r="I12" s="26" t="n">
        <v>0</v>
      </c>
      <c r="J12" s="27" t="str">
        <f aca="false">IFERROR(INDEX(Milestones!$A$5:$A$9,MATCH(A12,Milestones!$B$5:$B$9,0)),"")</f>
        <v/>
      </c>
      <c r="K12" s="28" t="s">
        <v>60</v>
      </c>
    </row>
    <row r="13" customFormat="false" ht="19.5" hidden="false" customHeight="true" outlineLevel="0" collapsed="false">
      <c r="A13" s="20" t="s">
        <v>77</v>
      </c>
      <c r="B13" s="21" t="s">
        <v>78</v>
      </c>
      <c r="C13" s="22" t="s">
        <v>74</v>
      </c>
      <c r="D13" s="21" t="s">
        <v>28</v>
      </c>
      <c r="E13" s="24" t="n">
        <f aca="false">WORKDAY(INDEX($F$5:$F$20,MATCH(H13,$A$5:$A$20,0)),1)</f>
        <v>46372</v>
      </c>
      <c r="F13" s="24" t="n">
        <f aca="false">WORKDAY(E13,G13-1)</f>
        <v>46374</v>
      </c>
      <c r="G13" s="25" t="n">
        <v>3</v>
      </c>
      <c r="H13" s="25" t="s">
        <v>75</v>
      </c>
      <c r="I13" s="26" t="n">
        <v>0</v>
      </c>
      <c r="J13" s="27" t="str">
        <f aca="false">IFERROR(INDEX(Milestones!$A$5:$A$9,MATCH(A13,Milestones!$B$5:$B$9,0)),"")</f>
        <v/>
      </c>
      <c r="K13" s="28" t="s">
        <v>60</v>
      </c>
    </row>
    <row r="14" customFormat="false" ht="19.5" hidden="false" customHeight="true" outlineLevel="0" collapsed="false">
      <c r="A14" s="20" t="s">
        <v>79</v>
      </c>
      <c r="B14" s="21" t="s">
        <v>80</v>
      </c>
      <c r="C14" s="22" t="s">
        <v>81</v>
      </c>
      <c r="D14" s="21" t="s">
        <v>28</v>
      </c>
      <c r="E14" s="24" t="n">
        <f aca="false">WORKDAY(INDEX($F$5:$F$20,MATCH(H14,$A$5:$A$20,0)),1)</f>
        <v>46377</v>
      </c>
      <c r="F14" s="24" t="n">
        <f aca="false">WORKDAY(E14,G14-1)</f>
        <v>46381</v>
      </c>
      <c r="G14" s="25" t="n">
        <v>5</v>
      </c>
      <c r="H14" s="25" t="s">
        <v>77</v>
      </c>
      <c r="I14" s="26" t="n">
        <v>0</v>
      </c>
      <c r="J14" s="27" t="str">
        <f aca="false">IFERROR(INDEX(Milestones!$A$5:$A$9,MATCH(A14,Milestones!$B$5:$B$9,0)),"")</f>
        <v/>
      </c>
      <c r="K14" s="28" t="s">
        <v>60</v>
      </c>
    </row>
    <row r="15" customFormat="false" ht="19.5" hidden="false" customHeight="true" outlineLevel="0" collapsed="false">
      <c r="A15" s="20" t="s">
        <v>82</v>
      </c>
      <c r="B15" s="21" t="s">
        <v>83</v>
      </c>
      <c r="C15" s="22" t="s">
        <v>81</v>
      </c>
      <c r="D15" s="21" t="s">
        <v>30</v>
      </c>
      <c r="E15" s="24" t="n">
        <f aca="false">WORKDAY(INDEX($F$5:$F$20,MATCH(H15,$A$5:$A$20,0)),1)</f>
        <v>46384</v>
      </c>
      <c r="F15" s="24" t="n">
        <f aca="false">WORKDAY(E15,G15-1)</f>
        <v>46388</v>
      </c>
      <c r="G15" s="25" t="n">
        <v>5</v>
      </c>
      <c r="H15" s="25" t="s">
        <v>79</v>
      </c>
      <c r="I15" s="26" t="n">
        <v>0</v>
      </c>
      <c r="J15" s="27" t="str">
        <f aca="false">IFERROR(INDEX(Milestones!$A$5:$A$9,MATCH(A15,Milestones!$B$5:$B$9,0)),"")</f>
        <v/>
      </c>
      <c r="K15" s="28" t="s">
        <v>60</v>
      </c>
    </row>
    <row r="16" customFormat="false" ht="19.5" hidden="false" customHeight="true" outlineLevel="0" collapsed="false">
      <c r="A16" s="20" t="s">
        <v>84</v>
      </c>
      <c r="B16" s="21" t="s">
        <v>85</v>
      </c>
      <c r="C16" s="22" t="s">
        <v>81</v>
      </c>
      <c r="D16" s="21" t="s">
        <v>28</v>
      </c>
      <c r="E16" s="24" t="n">
        <f aca="false">WORKDAY(INDEX($F$5:$F$20,MATCH(H16,$A$5:$A$20,0)),1)</f>
        <v>46391</v>
      </c>
      <c r="F16" s="24" t="n">
        <f aca="false">WORKDAY(E16,G16-1)</f>
        <v>46394</v>
      </c>
      <c r="G16" s="25" t="n">
        <v>4</v>
      </c>
      <c r="H16" s="25" t="s">
        <v>82</v>
      </c>
      <c r="I16" s="26" t="n">
        <v>0</v>
      </c>
      <c r="J16" s="27" t="str">
        <f aca="false">IFERROR(INDEX(Milestones!$A$5:$A$9,MATCH(A16,Milestones!$B$5:$B$9,0)),"")</f>
        <v>UAT sign-off</v>
      </c>
      <c r="K16" s="28" t="s">
        <v>60</v>
      </c>
    </row>
    <row r="17" customFormat="false" ht="19.5" hidden="false" customHeight="true" outlineLevel="0" collapsed="false">
      <c r="A17" s="20" t="s">
        <v>86</v>
      </c>
      <c r="B17" s="21" t="s">
        <v>87</v>
      </c>
      <c r="C17" s="22" t="s">
        <v>88</v>
      </c>
      <c r="D17" s="21" t="s">
        <v>28</v>
      </c>
      <c r="E17" s="24" t="n">
        <f aca="false">WORKDAY(INDEX($F$5:$F$20,MATCH(H17,$A$5:$A$20,0)),1)</f>
        <v>46395</v>
      </c>
      <c r="F17" s="24" t="n">
        <f aca="false">WORKDAY(E17,G17-1)</f>
        <v>46398</v>
      </c>
      <c r="G17" s="25" t="n">
        <v>2</v>
      </c>
      <c r="H17" s="25" t="s">
        <v>84</v>
      </c>
      <c r="I17" s="26" t="n">
        <v>0</v>
      </c>
      <c r="J17" s="27" t="str">
        <f aca="false">IFERROR(INDEX(Milestones!$A$5:$A$9,MATCH(A17,Milestones!$B$5:$B$9,0)),"")</f>
        <v>Go-live</v>
      </c>
      <c r="K17" s="28" t="s">
        <v>60</v>
      </c>
    </row>
    <row r="18" customFormat="false" ht="19.5" hidden="false" customHeight="true" outlineLevel="0" collapsed="false">
      <c r="A18" s="20" t="s">
        <v>89</v>
      </c>
      <c r="B18" s="21" t="s">
        <v>90</v>
      </c>
      <c r="C18" s="22" t="s">
        <v>88</v>
      </c>
      <c r="D18" s="21" t="s">
        <v>28</v>
      </c>
      <c r="E18" s="24" t="n">
        <f aca="false">WORKDAY(INDEX($F$5:$F$20,MATCH(H18,$A$5:$A$20,0)),1)</f>
        <v>46399</v>
      </c>
      <c r="F18" s="24" t="n">
        <f aca="false">WORKDAY(E18,G18-1)</f>
        <v>46402</v>
      </c>
      <c r="G18" s="25" t="n">
        <v>4</v>
      </c>
      <c r="H18" s="25" t="s">
        <v>86</v>
      </c>
      <c r="I18" s="26" t="n">
        <v>0</v>
      </c>
      <c r="J18" s="27" t="str">
        <f aca="false">IFERROR(INDEX(Milestones!$A$5:$A$9,MATCH(A18,Milestones!$B$5:$B$9,0)),"")</f>
        <v/>
      </c>
      <c r="K18" s="28" t="s">
        <v>60</v>
      </c>
    </row>
    <row r="19" customFormat="false" ht="19.5" hidden="false" customHeight="true" outlineLevel="0" collapsed="false">
      <c r="A19" s="20" t="s">
        <v>91</v>
      </c>
      <c r="B19" s="21" t="s">
        <v>92</v>
      </c>
      <c r="C19" s="22" t="s">
        <v>93</v>
      </c>
      <c r="D19" s="21" t="s">
        <v>28</v>
      </c>
      <c r="E19" s="24" t="n">
        <f aca="false">WORKDAY(INDEX($F$5:$F$20,MATCH(H19,$A$5:$A$20,0)),1)</f>
        <v>46405</v>
      </c>
      <c r="F19" s="24" t="n">
        <f aca="false">WORKDAY(E19,G19-1)</f>
        <v>46407</v>
      </c>
      <c r="G19" s="25" t="n">
        <v>3</v>
      </c>
      <c r="H19" s="25" t="s">
        <v>89</v>
      </c>
      <c r="I19" s="26" t="n">
        <v>0</v>
      </c>
      <c r="J19" s="27" t="str">
        <f aca="false">IFERROR(INDEX(Milestones!$A$5:$A$9,MATCH(A19,Milestones!$B$5:$B$9,0)),"")</f>
        <v/>
      </c>
      <c r="K19" s="28" t="s">
        <v>60</v>
      </c>
    </row>
    <row r="20" customFormat="false" ht="19.5" hidden="false" customHeight="true" outlineLevel="0" collapsed="false">
      <c r="A20" s="20" t="s">
        <v>94</v>
      </c>
      <c r="B20" s="21" t="s">
        <v>95</v>
      </c>
      <c r="C20" s="22" t="s">
        <v>93</v>
      </c>
      <c r="D20" s="21" t="s">
        <v>26</v>
      </c>
      <c r="E20" s="24" t="n">
        <f aca="false">WORKDAY(INDEX($F$5:$F$20,MATCH(H20,$A$5:$A$20,0)),1)</f>
        <v>46408</v>
      </c>
      <c r="F20" s="24" t="n">
        <f aca="false">WORKDAY(E20,G20-1)</f>
        <v>46409</v>
      </c>
      <c r="G20" s="25" t="n">
        <v>2</v>
      </c>
      <c r="H20" s="25" t="s">
        <v>91</v>
      </c>
      <c r="I20" s="26" t="n">
        <v>0</v>
      </c>
      <c r="J20" s="27" t="str">
        <f aca="false">IFERROR(INDEX(Milestones!$A$5:$A$9,MATCH(A20,Milestones!$B$5:$B$9,0)),"")</f>
        <v>Project closed</v>
      </c>
      <c r="K20" s="28" t="s">
        <v>60</v>
      </c>
    </row>
    <row r="22" customFormat="false" ht="15" hidden="false" customHeight="false" outlineLevel="0" collapsed="false">
      <c r="B22" s="29" t="s">
        <v>96</v>
      </c>
      <c r="E22" s="30" t="n">
        <f aca="false">MIN(E5:E20)</f>
        <v>46328</v>
      </c>
      <c r="F22" s="30" t="n">
        <f aca="false">MAX(F5:F20)</f>
        <v>46409</v>
      </c>
      <c r="G22" s="31" t="n">
        <f aca="false">SUM(G5:G20)</f>
        <v>60</v>
      </c>
    </row>
    <row r="23" customFormat="false" ht="15" hidden="false" customHeight="false" outlineLevel="0" collapsed="false">
      <c r="B23" s="32" t="s">
        <v>97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5" min="4" style="0" width="12"/>
    <col collapsed="false" customWidth="true" hidden="false" outlineLevel="0" max="6" min="6" style="0" width="17"/>
    <col collapsed="false" customWidth="true" hidden="false" outlineLevel="0" max="20" min="7" style="0" width="5.2"/>
  </cols>
  <sheetData>
    <row r="1" customFormat="false" ht="30" hidden="false" customHeight="true" outlineLevel="0" collapsed="false">
      <c r="A1" s="19" t="s">
        <v>98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customFormat="false" ht="15" hidden="false" customHeight="false" outlineLevel="0" collapsed="false">
      <c r="A2" s="33" t="s">
        <v>99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</row>
    <row r="4" customFormat="false" ht="18" hidden="false" customHeight="true" outlineLevel="0" collapsed="false">
      <c r="A4" s="34"/>
      <c r="B4" s="34"/>
      <c r="C4" s="34"/>
      <c r="D4" s="34"/>
      <c r="E4" s="34"/>
      <c r="F4" s="34"/>
      <c r="G4" s="12" t="s">
        <v>100</v>
      </c>
      <c r="H4" s="12" t="s">
        <v>101</v>
      </c>
      <c r="I4" s="12" t="s">
        <v>102</v>
      </c>
      <c r="J4" s="12" t="s">
        <v>103</v>
      </c>
      <c r="K4" s="12" t="s">
        <v>104</v>
      </c>
      <c r="L4" s="12" t="s">
        <v>105</v>
      </c>
      <c r="M4" s="12" t="s">
        <v>106</v>
      </c>
      <c r="N4" s="12" t="s">
        <v>107</v>
      </c>
      <c r="O4" s="12" t="s">
        <v>108</v>
      </c>
      <c r="P4" s="12" t="s">
        <v>109</v>
      </c>
      <c r="Q4" s="12" t="s">
        <v>110</v>
      </c>
      <c r="R4" s="12" t="s">
        <v>111</v>
      </c>
      <c r="S4" s="12" t="s">
        <v>112</v>
      </c>
      <c r="T4" s="12" t="s">
        <v>113</v>
      </c>
    </row>
    <row r="5" customFormat="false" ht="45.75" hidden="false" customHeight="true" outlineLevel="0" collapsed="false">
      <c r="A5" s="12" t="s">
        <v>45</v>
      </c>
      <c r="B5" s="12" t="s">
        <v>46</v>
      </c>
      <c r="C5" s="12" t="s">
        <v>47</v>
      </c>
      <c r="D5" s="12" t="s">
        <v>49</v>
      </c>
      <c r="E5" s="12" t="s">
        <v>50</v>
      </c>
      <c r="F5" s="12" t="s">
        <v>54</v>
      </c>
      <c r="G5" s="35" t="n">
        <f aca="false">Charter!$B$9-WEEKDAY(Charter!$B$9,2)+1</f>
        <v>46328</v>
      </c>
      <c r="H5" s="35" t="n">
        <f aca="false">G5+7</f>
        <v>46335</v>
      </c>
      <c r="I5" s="35" t="n">
        <f aca="false">H5+7</f>
        <v>46342</v>
      </c>
      <c r="J5" s="35" t="n">
        <f aca="false">I5+7</f>
        <v>46349</v>
      </c>
      <c r="K5" s="35" t="n">
        <f aca="false">J5+7</f>
        <v>46356</v>
      </c>
      <c r="L5" s="35" t="n">
        <f aca="false">K5+7</f>
        <v>46363</v>
      </c>
      <c r="M5" s="35" t="n">
        <f aca="false">L5+7</f>
        <v>46370</v>
      </c>
      <c r="N5" s="35" t="n">
        <f aca="false">M5+7</f>
        <v>46377</v>
      </c>
      <c r="O5" s="35" t="n">
        <f aca="false">N5+7</f>
        <v>46384</v>
      </c>
      <c r="P5" s="35" t="n">
        <f aca="false">O5+7</f>
        <v>46391</v>
      </c>
      <c r="Q5" s="35" t="n">
        <f aca="false">P5+7</f>
        <v>46398</v>
      </c>
      <c r="R5" s="35" t="n">
        <f aca="false">Q5+7</f>
        <v>46405</v>
      </c>
      <c r="S5" s="35" t="n">
        <f aca="false">R5+7</f>
        <v>46412</v>
      </c>
      <c r="T5" s="35" t="n">
        <f aca="false">S5+7</f>
        <v>46419</v>
      </c>
    </row>
    <row r="6" customFormat="false" ht="19.5" hidden="false" customHeight="true" outlineLevel="0" collapsed="false">
      <c r="A6" s="27" t="str">
        <f aca="false">WBS_Schedule!A5</f>
        <v>1.1</v>
      </c>
      <c r="B6" s="36" t="str">
        <f aca="false">WBS_Schedule!B5</f>
        <v>Kickoff and charter approval</v>
      </c>
      <c r="C6" s="37" t="str">
        <f aca="false">WBS_Schedule!C5</f>
        <v>Planning</v>
      </c>
      <c r="D6" s="38" t="n">
        <f aca="false">WBS_Schedule!E5</f>
        <v>46328</v>
      </c>
      <c r="E6" s="38" t="n">
        <f aca="false">WBS_Schedule!F5</f>
        <v>46329</v>
      </c>
      <c r="F6" s="39" t="str">
        <f aca="false">WBS_Schedule!J5</f>
        <v/>
      </c>
      <c r="G6" s="40" t="str">
        <f aca="false">IF(AND($F6&lt;&gt;"",$E6&gt;=G$5,$E6&lt;=G$5+6),"◆","")</f>
        <v/>
      </c>
      <c r="H6" s="40" t="str">
        <f aca="false">IF(AND($F6&lt;&gt;"",$E6&gt;=H$5,$E6&lt;=H$5+6),"◆","")</f>
        <v/>
      </c>
      <c r="I6" s="40" t="str">
        <f aca="false">IF(AND($F6&lt;&gt;"",$E6&gt;=I$5,$E6&lt;=I$5+6),"◆","")</f>
        <v/>
      </c>
      <c r="J6" s="40" t="str">
        <f aca="false">IF(AND($F6&lt;&gt;"",$E6&gt;=J$5,$E6&lt;=J$5+6),"◆","")</f>
        <v/>
      </c>
      <c r="K6" s="40" t="str">
        <f aca="false">IF(AND($F6&lt;&gt;"",$E6&gt;=K$5,$E6&lt;=K$5+6),"◆","")</f>
        <v/>
      </c>
      <c r="L6" s="40" t="str">
        <f aca="false">IF(AND($F6&lt;&gt;"",$E6&gt;=L$5,$E6&lt;=L$5+6),"◆","")</f>
        <v/>
      </c>
      <c r="M6" s="40" t="str">
        <f aca="false">IF(AND($F6&lt;&gt;"",$E6&gt;=M$5,$E6&lt;=M$5+6),"◆","")</f>
        <v/>
      </c>
      <c r="N6" s="40" t="str">
        <f aca="false">IF(AND($F6&lt;&gt;"",$E6&gt;=N$5,$E6&lt;=N$5+6),"◆","")</f>
        <v/>
      </c>
      <c r="O6" s="40" t="str">
        <f aca="false">IF(AND($F6&lt;&gt;"",$E6&gt;=O$5,$E6&lt;=O$5+6),"◆","")</f>
        <v/>
      </c>
      <c r="P6" s="40" t="str">
        <f aca="false">IF(AND($F6&lt;&gt;"",$E6&gt;=P$5,$E6&lt;=P$5+6),"◆","")</f>
        <v/>
      </c>
      <c r="Q6" s="40" t="str">
        <f aca="false">IF(AND($F6&lt;&gt;"",$E6&gt;=Q$5,$E6&lt;=Q$5+6),"◆","")</f>
        <v/>
      </c>
      <c r="R6" s="40" t="str">
        <f aca="false">IF(AND($F6&lt;&gt;"",$E6&gt;=R$5,$E6&lt;=R$5+6),"◆","")</f>
        <v/>
      </c>
      <c r="S6" s="40" t="str">
        <f aca="false">IF(AND($F6&lt;&gt;"",$E6&gt;=S$5,$E6&lt;=S$5+6),"◆","")</f>
        <v/>
      </c>
      <c r="T6" s="40" t="str">
        <f aca="false">IF(AND($F6&lt;&gt;"",$E6&gt;=T$5,$E6&lt;=T$5+6),"◆","")</f>
        <v/>
      </c>
    </row>
    <row r="7" customFormat="false" ht="19.5" hidden="false" customHeight="true" outlineLevel="0" collapsed="false">
      <c r="A7" s="27" t="str">
        <f aca="false">WBS_Schedule!A6</f>
        <v>1.2</v>
      </c>
      <c r="B7" s="36" t="str">
        <f aca="false">WBS_Schedule!B6</f>
        <v>Assess current databases</v>
      </c>
      <c r="C7" s="37" t="str">
        <f aca="false">WBS_Schedule!C6</f>
        <v>Planning</v>
      </c>
      <c r="D7" s="38" t="n">
        <f aca="false">WBS_Schedule!E6</f>
        <v>46330</v>
      </c>
      <c r="E7" s="38" t="n">
        <f aca="false">WBS_Schedule!F6</f>
        <v>46336</v>
      </c>
      <c r="F7" s="39" t="str">
        <f aca="false">WBS_Schedule!J6</f>
        <v/>
      </c>
      <c r="G7" s="40" t="str">
        <f aca="false">IF(AND($F7&lt;&gt;"",$E7&gt;=G$5,$E7&lt;=G$5+6),"◆","")</f>
        <v/>
      </c>
      <c r="H7" s="40" t="str">
        <f aca="false">IF(AND($F7&lt;&gt;"",$E7&gt;=H$5,$E7&lt;=H$5+6),"◆","")</f>
        <v/>
      </c>
      <c r="I7" s="40" t="str">
        <f aca="false">IF(AND($F7&lt;&gt;"",$E7&gt;=I$5,$E7&lt;=I$5+6),"◆","")</f>
        <v/>
      </c>
      <c r="J7" s="40" t="str">
        <f aca="false">IF(AND($F7&lt;&gt;"",$E7&gt;=J$5,$E7&lt;=J$5+6),"◆","")</f>
        <v/>
      </c>
      <c r="K7" s="40" t="str">
        <f aca="false">IF(AND($F7&lt;&gt;"",$E7&gt;=K$5,$E7&lt;=K$5+6),"◆","")</f>
        <v/>
      </c>
      <c r="L7" s="40" t="str">
        <f aca="false">IF(AND($F7&lt;&gt;"",$E7&gt;=L$5,$E7&lt;=L$5+6),"◆","")</f>
        <v/>
      </c>
      <c r="M7" s="40" t="str">
        <f aca="false">IF(AND($F7&lt;&gt;"",$E7&gt;=M$5,$E7&lt;=M$5+6),"◆","")</f>
        <v/>
      </c>
      <c r="N7" s="40" t="str">
        <f aca="false">IF(AND($F7&lt;&gt;"",$E7&gt;=N$5,$E7&lt;=N$5+6),"◆","")</f>
        <v/>
      </c>
      <c r="O7" s="40" t="str">
        <f aca="false">IF(AND($F7&lt;&gt;"",$E7&gt;=O$5,$E7&lt;=O$5+6),"◆","")</f>
        <v/>
      </c>
      <c r="P7" s="40" t="str">
        <f aca="false">IF(AND($F7&lt;&gt;"",$E7&gt;=P$5,$E7&lt;=P$5+6),"◆","")</f>
        <v/>
      </c>
      <c r="Q7" s="40" t="str">
        <f aca="false">IF(AND($F7&lt;&gt;"",$E7&gt;=Q$5,$E7&lt;=Q$5+6),"◆","")</f>
        <v/>
      </c>
      <c r="R7" s="40" t="str">
        <f aca="false">IF(AND($F7&lt;&gt;"",$E7&gt;=R$5,$E7&lt;=R$5+6),"◆","")</f>
        <v/>
      </c>
      <c r="S7" s="40" t="str">
        <f aca="false">IF(AND($F7&lt;&gt;"",$E7&gt;=S$5,$E7&lt;=S$5+6),"◆","")</f>
        <v/>
      </c>
      <c r="T7" s="40" t="str">
        <f aca="false">IF(AND($F7&lt;&gt;"",$E7&gt;=T$5,$E7&lt;=T$5+6),"◆","")</f>
        <v/>
      </c>
    </row>
    <row r="8" customFormat="false" ht="19.5" hidden="false" customHeight="true" outlineLevel="0" collapsed="false">
      <c r="A8" s="27" t="str">
        <f aca="false">WBS_Schedule!A7</f>
        <v>1.3</v>
      </c>
      <c r="B8" s="36" t="str">
        <f aca="false">WBS_Schedule!B7</f>
        <v>Prepare migration plan</v>
      </c>
      <c r="C8" s="37" t="str">
        <f aca="false">WBS_Schedule!C7</f>
        <v>Planning</v>
      </c>
      <c r="D8" s="38" t="n">
        <f aca="false">WBS_Schedule!E7</f>
        <v>46337</v>
      </c>
      <c r="E8" s="38" t="n">
        <f aca="false">WBS_Schedule!F7</f>
        <v>46342</v>
      </c>
      <c r="F8" s="39" t="str">
        <f aca="false">WBS_Schedule!J7</f>
        <v>Plan approved</v>
      </c>
      <c r="G8" s="40" t="str">
        <f aca="false">IF(AND($F8&lt;&gt;"",$E8&gt;=G$5,$E8&lt;=G$5+6),"◆","")</f>
        <v/>
      </c>
      <c r="H8" s="40" t="str">
        <f aca="false">IF(AND($F8&lt;&gt;"",$E8&gt;=H$5,$E8&lt;=H$5+6),"◆","")</f>
        <v/>
      </c>
      <c r="I8" s="40" t="str">
        <f aca="false">IF(AND($F8&lt;&gt;"",$E8&gt;=I$5,$E8&lt;=I$5+6),"◆","")</f>
        <v>◆</v>
      </c>
      <c r="J8" s="40" t="str">
        <f aca="false">IF(AND($F8&lt;&gt;"",$E8&gt;=J$5,$E8&lt;=J$5+6),"◆","")</f>
        <v/>
      </c>
      <c r="K8" s="40" t="str">
        <f aca="false">IF(AND($F8&lt;&gt;"",$E8&gt;=K$5,$E8&lt;=K$5+6),"◆","")</f>
        <v/>
      </c>
      <c r="L8" s="40" t="str">
        <f aca="false">IF(AND($F8&lt;&gt;"",$E8&gt;=L$5,$E8&lt;=L$5+6),"◆","")</f>
        <v/>
      </c>
      <c r="M8" s="40" t="str">
        <f aca="false">IF(AND($F8&lt;&gt;"",$E8&gt;=M$5,$E8&lt;=M$5+6),"◆","")</f>
        <v/>
      </c>
      <c r="N8" s="40" t="str">
        <f aca="false">IF(AND($F8&lt;&gt;"",$E8&gt;=N$5,$E8&lt;=N$5+6),"◆","")</f>
        <v/>
      </c>
      <c r="O8" s="40" t="str">
        <f aca="false">IF(AND($F8&lt;&gt;"",$E8&gt;=O$5,$E8&lt;=O$5+6),"◆","")</f>
        <v/>
      </c>
      <c r="P8" s="40" t="str">
        <f aca="false">IF(AND($F8&lt;&gt;"",$E8&gt;=P$5,$E8&lt;=P$5+6),"◆","")</f>
        <v/>
      </c>
      <c r="Q8" s="40" t="str">
        <f aca="false">IF(AND($F8&lt;&gt;"",$E8&gt;=Q$5,$E8&lt;=Q$5+6),"◆","")</f>
        <v/>
      </c>
      <c r="R8" s="40" t="str">
        <f aca="false">IF(AND($F8&lt;&gt;"",$E8&gt;=R$5,$E8&lt;=R$5+6),"◆","")</f>
        <v/>
      </c>
      <c r="S8" s="40" t="str">
        <f aca="false">IF(AND($F8&lt;&gt;"",$E8&gt;=S$5,$E8&lt;=S$5+6),"◆","")</f>
        <v/>
      </c>
      <c r="T8" s="40" t="str">
        <f aca="false">IF(AND($F8&lt;&gt;"",$E8&gt;=T$5,$E8&lt;=T$5+6),"◆","")</f>
        <v/>
      </c>
    </row>
    <row r="9" customFormat="false" ht="19.5" hidden="false" customHeight="true" outlineLevel="0" collapsed="false">
      <c r="A9" s="27" t="str">
        <f aca="false">WBS_Schedule!A8</f>
        <v>2.1</v>
      </c>
      <c r="B9" s="36" t="str">
        <f aca="false">WBS_Schedule!B8</f>
        <v>Set up new servers</v>
      </c>
      <c r="C9" s="37" t="str">
        <f aca="false">WBS_Schedule!C8</f>
        <v>Setup</v>
      </c>
      <c r="D9" s="38" t="n">
        <f aca="false">WBS_Schedule!E8</f>
        <v>46343</v>
      </c>
      <c r="E9" s="38" t="n">
        <f aca="false">WBS_Schedule!F8</f>
        <v>46349</v>
      </c>
      <c r="F9" s="39" t="str">
        <f aca="false">WBS_Schedule!J8</f>
        <v/>
      </c>
      <c r="G9" s="40" t="str">
        <f aca="false">IF(AND($F9&lt;&gt;"",$E9&gt;=G$5,$E9&lt;=G$5+6),"◆","")</f>
        <v/>
      </c>
      <c r="H9" s="40" t="str">
        <f aca="false">IF(AND($F9&lt;&gt;"",$E9&gt;=H$5,$E9&lt;=H$5+6),"◆","")</f>
        <v/>
      </c>
      <c r="I9" s="40" t="str">
        <f aca="false">IF(AND($F9&lt;&gt;"",$E9&gt;=I$5,$E9&lt;=I$5+6),"◆","")</f>
        <v/>
      </c>
      <c r="J9" s="40" t="str">
        <f aca="false">IF(AND($F9&lt;&gt;"",$E9&gt;=J$5,$E9&lt;=J$5+6),"◆","")</f>
        <v/>
      </c>
      <c r="K9" s="40" t="str">
        <f aca="false">IF(AND($F9&lt;&gt;"",$E9&gt;=K$5,$E9&lt;=K$5+6),"◆","")</f>
        <v/>
      </c>
      <c r="L9" s="40" t="str">
        <f aca="false">IF(AND($F9&lt;&gt;"",$E9&gt;=L$5,$E9&lt;=L$5+6),"◆","")</f>
        <v/>
      </c>
      <c r="M9" s="40" t="str">
        <f aca="false">IF(AND($F9&lt;&gt;"",$E9&gt;=M$5,$E9&lt;=M$5+6),"◆","")</f>
        <v/>
      </c>
      <c r="N9" s="40" t="str">
        <f aca="false">IF(AND($F9&lt;&gt;"",$E9&gt;=N$5,$E9&lt;=N$5+6),"◆","")</f>
        <v/>
      </c>
      <c r="O9" s="40" t="str">
        <f aca="false">IF(AND($F9&lt;&gt;"",$E9&gt;=O$5,$E9&lt;=O$5+6),"◆","")</f>
        <v/>
      </c>
      <c r="P9" s="40" t="str">
        <f aca="false">IF(AND($F9&lt;&gt;"",$E9&gt;=P$5,$E9&lt;=P$5+6),"◆","")</f>
        <v/>
      </c>
      <c r="Q9" s="40" t="str">
        <f aca="false">IF(AND($F9&lt;&gt;"",$E9&gt;=Q$5,$E9&lt;=Q$5+6),"◆","")</f>
        <v/>
      </c>
      <c r="R9" s="40" t="str">
        <f aca="false">IF(AND($F9&lt;&gt;"",$E9&gt;=R$5,$E9&lt;=R$5+6),"◆","")</f>
        <v/>
      </c>
      <c r="S9" s="40" t="str">
        <f aca="false">IF(AND($F9&lt;&gt;"",$E9&gt;=S$5,$E9&lt;=S$5+6),"◆","")</f>
        <v/>
      </c>
      <c r="T9" s="40" t="str">
        <f aca="false">IF(AND($F9&lt;&gt;"",$E9&gt;=T$5,$E9&lt;=T$5+6),"◆","")</f>
        <v/>
      </c>
    </row>
    <row r="10" customFormat="false" ht="19.5" hidden="false" customHeight="true" outlineLevel="0" collapsed="false">
      <c r="A10" s="27" t="str">
        <f aca="false">WBS_Schedule!A9</f>
        <v>2.2</v>
      </c>
      <c r="B10" s="36" t="str">
        <f aca="false">WBS_Schedule!B9</f>
        <v>Install Oracle 21c</v>
      </c>
      <c r="C10" s="37" t="str">
        <f aca="false">WBS_Schedule!C9</f>
        <v>Setup</v>
      </c>
      <c r="D10" s="38" t="n">
        <f aca="false">WBS_Schedule!E9</f>
        <v>46350</v>
      </c>
      <c r="E10" s="38" t="n">
        <f aca="false">WBS_Schedule!F9</f>
        <v>46352</v>
      </c>
      <c r="F10" s="39" t="str">
        <f aca="false">WBS_Schedule!J9</f>
        <v/>
      </c>
      <c r="G10" s="40" t="str">
        <f aca="false">IF(AND($F10&lt;&gt;"",$E10&gt;=G$5,$E10&lt;=G$5+6),"◆","")</f>
        <v/>
      </c>
      <c r="H10" s="40" t="str">
        <f aca="false">IF(AND($F10&lt;&gt;"",$E10&gt;=H$5,$E10&lt;=H$5+6),"◆","")</f>
        <v/>
      </c>
      <c r="I10" s="40" t="str">
        <f aca="false">IF(AND($F10&lt;&gt;"",$E10&gt;=I$5,$E10&lt;=I$5+6),"◆","")</f>
        <v/>
      </c>
      <c r="J10" s="40" t="str">
        <f aca="false">IF(AND($F10&lt;&gt;"",$E10&gt;=J$5,$E10&lt;=J$5+6),"◆","")</f>
        <v/>
      </c>
      <c r="K10" s="40" t="str">
        <f aca="false">IF(AND($F10&lt;&gt;"",$E10&gt;=K$5,$E10&lt;=K$5+6),"◆","")</f>
        <v/>
      </c>
      <c r="L10" s="40" t="str">
        <f aca="false">IF(AND($F10&lt;&gt;"",$E10&gt;=L$5,$E10&lt;=L$5+6),"◆","")</f>
        <v/>
      </c>
      <c r="M10" s="40" t="str">
        <f aca="false">IF(AND($F10&lt;&gt;"",$E10&gt;=M$5,$E10&lt;=M$5+6),"◆","")</f>
        <v/>
      </c>
      <c r="N10" s="40" t="str">
        <f aca="false">IF(AND($F10&lt;&gt;"",$E10&gt;=N$5,$E10&lt;=N$5+6),"◆","")</f>
        <v/>
      </c>
      <c r="O10" s="40" t="str">
        <f aca="false">IF(AND($F10&lt;&gt;"",$E10&gt;=O$5,$E10&lt;=O$5+6),"◆","")</f>
        <v/>
      </c>
      <c r="P10" s="40" t="str">
        <f aca="false">IF(AND($F10&lt;&gt;"",$E10&gt;=P$5,$E10&lt;=P$5+6),"◆","")</f>
        <v/>
      </c>
      <c r="Q10" s="40" t="str">
        <f aca="false">IF(AND($F10&lt;&gt;"",$E10&gt;=Q$5,$E10&lt;=Q$5+6),"◆","")</f>
        <v/>
      </c>
      <c r="R10" s="40" t="str">
        <f aca="false">IF(AND($F10&lt;&gt;"",$E10&gt;=R$5,$E10&lt;=R$5+6),"◆","")</f>
        <v/>
      </c>
      <c r="S10" s="40" t="str">
        <f aca="false">IF(AND($F10&lt;&gt;"",$E10&gt;=S$5,$E10&lt;=S$5+6),"◆","")</f>
        <v/>
      </c>
      <c r="T10" s="40" t="str">
        <f aca="false">IF(AND($F10&lt;&gt;"",$E10&gt;=T$5,$E10&lt;=T$5+6),"◆","")</f>
        <v/>
      </c>
    </row>
    <row r="11" customFormat="false" ht="19.5" hidden="false" customHeight="true" outlineLevel="0" collapsed="false">
      <c r="A11" s="27" t="str">
        <f aca="false">WBS_Schedule!A10</f>
        <v>2.3</v>
      </c>
      <c r="B11" s="36" t="str">
        <f aca="false">WBS_Schedule!B10</f>
        <v>Configure backup and recovery</v>
      </c>
      <c r="C11" s="37" t="str">
        <f aca="false">WBS_Schedule!C10</f>
        <v>Setup</v>
      </c>
      <c r="D11" s="38" t="n">
        <f aca="false">WBS_Schedule!E10</f>
        <v>46353</v>
      </c>
      <c r="E11" s="38" t="n">
        <f aca="false">WBS_Schedule!F10</f>
        <v>46358</v>
      </c>
      <c r="F11" s="39" t="str">
        <f aca="false">WBS_Schedule!J10</f>
        <v>Environment ready</v>
      </c>
      <c r="G11" s="40" t="str">
        <f aca="false">IF(AND($F11&lt;&gt;"",$E11&gt;=G$5,$E11&lt;=G$5+6),"◆","")</f>
        <v/>
      </c>
      <c r="H11" s="40" t="str">
        <f aca="false">IF(AND($F11&lt;&gt;"",$E11&gt;=H$5,$E11&lt;=H$5+6),"◆","")</f>
        <v/>
      </c>
      <c r="I11" s="40" t="str">
        <f aca="false">IF(AND($F11&lt;&gt;"",$E11&gt;=I$5,$E11&lt;=I$5+6),"◆","")</f>
        <v/>
      </c>
      <c r="J11" s="40" t="str">
        <f aca="false">IF(AND($F11&lt;&gt;"",$E11&gt;=J$5,$E11&lt;=J$5+6),"◆","")</f>
        <v/>
      </c>
      <c r="K11" s="40" t="str">
        <f aca="false">IF(AND($F11&lt;&gt;"",$E11&gt;=K$5,$E11&lt;=K$5+6),"◆","")</f>
        <v>◆</v>
      </c>
      <c r="L11" s="40" t="str">
        <f aca="false">IF(AND($F11&lt;&gt;"",$E11&gt;=L$5,$E11&lt;=L$5+6),"◆","")</f>
        <v/>
      </c>
      <c r="M11" s="40" t="str">
        <f aca="false">IF(AND($F11&lt;&gt;"",$E11&gt;=M$5,$E11&lt;=M$5+6),"◆","")</f>
        <v/>
      </c>
      <c r="N11" s="40" t="str">
        <f aca="false">IF(AND($F11&lt;&gt;"",$E11&gt;=N$5,$E11&lt;=N$5+6),"◆","")</f>
        <v/>
      </c>
      <c r="O11" s="40" t="str">
        <f aca="false">IF(AND($F11&lt;&gt;"",$E11&gt;=O$5,$E11&lt;=O$5+6),"◆","")</f>
        <v/>
      </c>
      <c r="P11" s="40" t="str">
        <f aca="false">IF(AND($F11&lt;&gt;"",$E11&gt;=P$5,$E11&lt;=P$5+6),"◆","")</f>
        <v/>
      </c>
      <c r="Q11" s="40" t="str">
        <f aca="false">IF(AND($F11&lt;&gt;"",$E11&gt;=Q$5,$E11&lt;=Q$5+6),"◆","")</f>
        <v/>
      </c>
      <c r="R11" s="40" t="str">
        <f aca="false">IF(AND($F11&lt;&gt;"",$E11&gt;=R$5,$E11&lt;=R$5+6),"◆","")</f>
        <v/>
      </c>
      <c r="S11" s="40" t="str">
        <f aca="false">IF(AND($F11&lt;&gt;"",$E11&gt;=S$5,$E11&lt;=S$5+6),"◆","")</f>
        <v/>
      </c>
      <c r="T11" s="40" t="str">
        <f aca="false">IF(AND($F11&lt;&gt;"",$E11&gt;=T$5,$E11&lt;=T$5+6),"◆","")</f>
        <v/>
      </c>
    </row>
    <row r="12" customFormat="false" ht="19.5" hidden="false" customHeight="true" outlineLevel="0" collapsed="false">
      <c r="A12" s="27" t="str">
        <f aca="false">WBS_Schedule!A11</f>
        <v>3.1</v>
      </c>
      <c r="B12" s="36" t="str">
        <f aca="false">WBS_Schedule!B11</f>
        <v>Migrate test database</v>
      </c>
      <c r="C12" s="37" t="str">
        <f aca="false">WBS_Schedule!C11</f>
        <v>Migration</v>
      </c>
      <c r="D12" s="38" t="n">
        <f aca="false">WBS_Schedule!E11</f>
        <v>46359</v>
      </c>
      <c r="E12" s="38" t="n">
        <f aca="false">WBS_Schedule!F11</f>
        <v>46365</v>
      </c>
      <c r="F12" s="39" t="str">
        <f aca="false">WBS_Schedule!J11</f>
        <v/>
      </c>
      <c r="G12" s="40" t="str">
        <f aca="false">IF(AND($F12&lt;&gt;"",$E12&gt;=G$5,$E12&lt;=G$5+6),"◆","")</f>
        <v/>
      </c>
      <c r="H12" s="40" t="str">
        <f aca="false">IF(AND($F12&lt;&gt;"",$E12&gt;=H$5,$E12&lt;=H$5+6),"◆","")</f>
        <v/>
      </c>
      <c r="I12" s="40" t="str">
        <f aca="false">IF(AND($F12&lt;&gt;"",$E12&gt;=I$5,$E12&lt;=I$5+6),"◆","")</f>
        <v/>
      </c>
      <c r="J12" s="40" t="str">
        <f aca="false">IF(AND($F12&lt;&gt;"",$E12&gt;=J$5,$E12&lt;=J$5+6),"◆","")</f>
        <v/>
      </c>
      <c r="K12" s="40" t="str">
        <f aca="false">IF(AND($F12&lt;&gt;"",$E12&gt;=K$5,$E12&lt;=K$5+6),"◆","")</f>
        <v/>
      </c>
      <c r="L12" s="40" t="str">
        <f aca="false">IF(AND($F12&lt;&gt;"",$E12&gt;=L$5,$E12&lt;=L$5+6),"◆","")</f>
        <v/>
      </c>
      <c r="M12" s="40" t="str">
        <f aca="false">IF(AND($F12&lt;&gt;"",$E12&gt;=M$5,$E12&lt;=M$5+6),"◆","")</f>
        <v/>
      </c>
      <c r="N12" s="40" t="str">
        <f aca="false">IF(AND($F12&lt;&gt;"",$E12&gt;=N$5,$E12&lt;=N$5+6),"◆","")</f>
        <v/>
      </c>
      <c r="O12" s="40" t="str">
        <f aca="false">IF(AND($F12&lt;&gt;"",$E12&gt;=O$5,$E12&lt;=O$5+6),"◆","")</f>
        <v/>
      </c>
      <c r="P12" s="40" t="str">
        <f aca="false">IF(AND($F12&lt;&gt;"",$E12&gt;=P$5,$E12&lt;=P$5+6),"◆","")</f>
        <v/>
      </c>
      <c r="Q12" s="40" t="str">
        <f aca="false">IF(AND($F12&lt;&gt;"",$E12&gt;=Q$5,$E12&lt;=Q$5+6),"◆","")</f>
        <v/>
      </c>
      <c r="R12" s="40" t="str">
        <f aca="false">IF(AND($F12&lt;&gt;"",$E12&gt;=R$5,$E12&lt;=R$5+6),"◆","")</f>
        <v/>
      </c>
      <c r="S12" s="40" t="str">
        <f aca="false">IF(AND($F12&lt;&gt;"",$E12&gt;=S$5,$E12&lt;=S$5+6),"◆","")</f>
        <v/>
      </c>
      <c r="T12" s="40" t="str">
        <f aca="false">IF(AND($F12&lt;&gt;"",$E12&gt;=T$5,$E12&lt;=T$5+6),"◆","")</f>
        <v/>
      </c>
    </row>
    <row r="13" customFormat="false" ht="19.5" hidden="false" customHeight="true" outlineLevel="0" collapsed="false">
      <c r="A13" s="27" t="str">
        <f aca="false">WBS_Schedule!A12</f>
        <v>3.2</v>
      </c>
      <c r="B13" s="36" t="str">
        <f aca="false">WBS_Schedule!B12</f>
        <v>Validate data integrity</v>
      </c>
      <c r="C13" s="37" t="str">
        <f aca="false">WBS_Schedule!C12</f>
        <v>Migration</v>
      </c>
      <c r="D13" s="38" t="n">
        <f aca="false">WBS_Schedule!E12</f>
        <v>46366</v>
      </c>
      <c r="E13" s="38" t="n">
        <f aca="false">WBS_Schedule!F12</f>
        <v>46371</v>
      </c>
      <c r="F13" s="39" t="str">
        <f aca="false">WBS_Schedule!J12</f>
        <v/>
      </c>
      <c r="G13" s="40" t="str">
        <f aca="false">IF(AND($F13&lt;&gt;"",$E13&gt;=G$5,$E13&lt;=G$5+6),"◆","")</f>
        <v/>
      </c>
      <c r="H13" s="40" t="str">
        <f aca="false">IF(AND($F13&lt;&gt;"",$E13&gt;=H$5,$E13&lt;=H$5+6),"◆","")</f>
        <v/>
      </c>
      <c r="I13" s="40" t="str">
        <f aca="false">IF(AND($F13&lt;&gt;"",$E13&gt;=I$5,$E13&lt;=I$5+6),"◆","")</f>
        <v/>
      </c>
      <c r="J13" s="40" t="str">
        <f aca="false">IF(AND($F13&lt;&gt;"",$E13&gt;=J$5,$E13&lt;=J$5+6),"◆","")</f>
        <v/>
      </c>
      <c r="K13" s="40" t="str">
        <f aca="false">IF(AND($F13&lt;&gt;"",$E13&gt;=K$5,$E13&lt;=K$5+6),"◆","")</f>
        <v/>
      </c>
      <c r="L13" s="40" t="str">
        <f aca="false">IF(AND($F13&lt;&gt;"",$E13&gt;=L$5,$E13&lt;=L$5+6),"◆","")</f>
        <v/>
      </c>
      <c r="M13" s="40" t="str">
        <f aca="false">IF(AND($F13&lt;&gt;"",$E13&gt;=M$5,$E13&lt;=M$5+6),"◆","")</f>
        <v/>
      </c>
      <c r="N13" s="40" t="str">
        <f aca="false">IF(AND($F13&lt;&gt;"",$E13&gt;=N$5,$E13&lt;=N$5+6),"◆","")</f>
        <v/>
      </c>
      <c r="O13" s="40" t="str">
        <f aca="false">IF(AND($F13&lt;&gt;"",$E13&gt;=O$5,$E13&lt;=O$5+6),"◆","")</f>
        <v/>
      </c>
      <c r="P13" s="40" t="str">
        <f aca="false">IF(AND($F13&lt;&gt;"",$E13&gt;=P$5,$E13&lt;=P$5+6),"◆","")</f>
        <v/>
      </c>
      <c r="Q13" s="40" t="str">
        <f aca="false">IF(AND($F13&lt;&gt;"",$E13&gt;=Q$5,$E13&lt;=Q$5+6),"◆","")</f>
        <v/>
      </c>
      <c r="R13" s="40" t="str">
        <f aca="false">IF(AND($F13&lt;&gt;"",$E13&gt;=R$5,$E13&lt;=R$5+6),"◆","")</f>
        <v/>
      </c>
      <c r="S13" s="40" t="str">
        <f aca="false">IF(AND($F13&lt;&gt;"",$E13&gt;=S$5,$E13&lt;=S$5+6),"◆","")</f>
        <v/>
      </c>
      <c r="T13" s="40" t="str">
        <f aca="false">IF(AND($F13&lt;&gt;"",$E13&gt;=T$5,$E13&lt;=T$5+6),"◆","")</f>
        <v/>
      </c>
    </row>
    <row r="14" customFormat="false" ht="19.5" hidden="false" customHeight="true" outlineLevel="0" collapsed="false">
      <c r="A14" s="27" t="str">
        <f aca="false">WBS_Schedule!A13</f>
        <v>3.3</v>
      </c>
      <c r="B14" s="36" t="str">
        <f aca="false">WBS_Schedule!B13</f>
        <v>Migrate user access and roles</v>
      </c>
      <c r="C14" s="37" t="str">
        <f aca="false">WBS_Schedule!C13</f>
        <v>Migration</v>
      </c>
      <c r="D14" s="38" t="n">
        <f aca="false">WBS_Schedule!E13</f>
        <v>46372</v>
      </c>
      <c r="E14" s="38" t="n">
        <f aca="false">WBS_Schedule!F13</f>
        <v>46374</v>
      </c>
      <c r="F14" s="39" t="str">
        <f aca="false">WBS_Schedule!J13</f>
        <v/>
      </c>
      <c r="G14" s="40" t="str">
        <f aca="false">IF(AND($F14&lt;&gt;"",$E14&gt;=G$5,$E14&lt;=G$5+6),"◆","")</f>
        <v/>
      </c>
      <c r="H14" s="40" t="str">
        <f aca="false">IF(AND($F14&lt;&gt;"",$E14&gt;=H$5,$E14&lt;=H$5+6),"◆","")</f>
        <v/>
      </c>
      <c r="I14" s="40" t="str">
        <f aca="false">IF(AND($F14&lt;&gt;"",$E14&gt;=I$5,$E14&lt;=I$5+6),"◆","")</f>
        <v/>
      </c>
      <c r="J14" s="40" t="str">
        <f aca="false">IF(AND($F14&lt;&gt;"",$E14&gt;=J$5,$E14&lt;=J$5+6),"◆","")</f>
        <v/>
      </c>
      <c r="K14" s="40" t="str">
        <f aca="false">IF(AND($F14&lt;&gt;"",$E14&gt;=K$5,$E14&lt;=K$5+6),"◆","")</f>
        <v/>
      </c>
      <c r="L14" s="40" t="str">
        <f aca="false">IF(AND($F14&lt;&gt;"",$E14&gt;=L$5,$E14&lt;=L$5+6),"◆","")</f>
        <v/>
      </c>
      <c r="M14" s="40" t="str">
        <f aca="false">IF(AND($F14&lt;&gt;"",$E14&gt;=M$5,$E14&lt;=M$5+6),"◆","")</f>
        <v/>
      </c>
      <c r="N14" s="40" t="str">
        <f aca="false">IF(AND($F14&lt;&gt;"",$E14&gt;=N$5,$E14&lt;=N$5+6),"◆","")</f>
        <v/>
      </c>
      <c r="O14" s="40" t="str">
        <f aca="false">IF(AND($F14&lt;&gt;"",$E14&gt;=O$5,$E14&lt;=O$5+6),"◆","")</f>
        <v/>
      </c>
      <c r="P14" s="40" t="str">
        <f aca="false">IF(AND($F14&lt;&gt;"",$E14&gt;=P$5,$E14&lt;=P$5+6),"◆","")</f>
        <v/>
      </c>
      <c r="Q14" s="40" t="str">
        <f aca="false">IF(AND($F14&lt;&gt;"",$E14&gt;=Q$5,$E14&lt;=Q$5+6),"◆","")</f>
        <v/>
      </c>
      <c r="R14" s="40" t="str">
        <f aca="false">IF(AND($F14&lt;&gt;"",$E14&gt;=R$5,$E14&lt;=R$5+6),"◆","")</f>
        <v/>
      </c>
      <c r="S14" s="40" t="str">
        <f aca="false">IF(AND($F14&lt;&gt;"",$E14&gt;=S$5,$E14&lt;=S$5+6),"◆","")</f>
        <v/>
      </c>
      <c r="T14" s="40" t="str">
        <f aca="false">IF(AND($F14&lt;&gt;"",$E14&gt;=T$5,$E14&lt;=T$5+6),"◆","")</f>
        <v/>
      </c>
    </row>
    <row r="15" customFormat="false" ht="19.5" hidden="false" customHeight="true" outlineLevel="0" collapsed="false">
      <c r="A15" s="27" t="str">
        <f aca="false">WBS_Schedule!A14</f>
        <v>4.1</v>
      </c>
      <c r="B15" s="36" t="str">
        <f aca="false">WBS_Schedule!B14</f>
        <v>Performance testing</v>
      </c>
      <c r="C15" s="37" t="str">
        <f aca="false">WBS_Schedule!C14</f>
        <v>Testing</v>
      </c>
      <c r="D15" s="38" t="n">
        <f aca="false">WBS_Schedule!E14</f>
        <v>46377</v>
      </c>
      <c r="E15" s="38" t="n">
        <f aca="false">WBS_Schedule!F14</f>
        <v>46381</v>
      </c>
      <c r="F15" s="39" t="str">
        <f aca="false">WBS_Schedule!J14</f>
        <v/>
      </c>
      <c r="G15" s="40" t="str">
        <f aca="false">IF(AND($F15&lt;&gt;"",$E15&gt;=G$5,$E15&lt;=G$5+6),"◆","")</f>
        <v/>
      </c>
      <c r="H15" s="40" t="str">
        <f aca="false">IF(AND($F15&lt;&gt;"",$E15&gt;=H$5,$E15&lt;=H$5+6),"◆","")</f>
        <v/>
      </c>
      <c r="I15" s="40" t="str">
        <f aca="false">IF(AND($F15&lt;&gt;"",$E15&gt;=I$5,$E15&lt;=I$5+6),"◆","")</f>
        <v/>
      </c>
      <c r="J15" s="40" t="str">
        <f aca="false">IF(AND($F15&lt;&gt;"",$E15&gt;=J$5,$E15&lt;=J$5+6),"◆","")</f>
        <v/>
      </c>
      <c r="K15" s="40" t="str">
        <f aca="false">IF(AND($F15&lt;&gt;"",$E15&gt;=K$5,$E15&lt;=K$5+6),"◆","")</f>
        <v/>
      </c>
      <c r="L15" s="40" t="str">
        <f aca="false">IF(AND($F15&lt;&gt;"",$E15&gt;=L$5,$E15&lt;=L$5+6),"◆","")</f>
        <v/>
      </c>
      <c r="M15" s="40" t="str">
        <f aca="false">IF(AND($F15&lt;&gt;"",$E15&gt;=M$5,$E15&lt;=M$5+6),"◆","")</f>
        <v/>
      </c>
      <c r="N15" s="40" t="str">
        <f aca="false">IF(AND($F15&lt;&gt;"",$E15&gt;=N$5,$E15&lt;=N$5+6),"◆","")</f>
        <v/>
      </c>
      <c r="O15" s="40" t="str">
        <f aca="false">IF(AND($F15&lt;&gt;"",$E15&gt;=O$5,$E15&lt;=O$5+6),"◆","")</f>
        <v/>
      </c>
      <c r="P15" s="40" t="str">
        <f aca="false">IF(AND($F15&lt;&gt;"",$E15&gt;=P$5,$E15&lt;=P$5+6),"◆","")</f>
        <v/>
      </c>
      <c r="Q15" s="40" t="str">
        <f aca="false">IF(AND($F15&lt;&gt;"",$E15&gt;=Q$5,$E15&lt;=Q$5+6),"◆","")</f>
        <v/>
      </c>
      <c r="R15" s="40" t="str">
        <f aca="false">IF(AND($F15&lt;&gt;"",$E15&gt;=R$5,$E15&lt;=R$5+6),"◆","")</f>
        <v/>
      </c>
      <c r="S15" s="40" t="str">
        <f aca="false">IF(AND($F15&lt;&gt;"",$E15&gt;=S$5,$E15&lt;=S$5+6),"◆","")</f>
        <v/>
      </c>
      <c r="T15" s="40" t="str">
        <f aca="false">IF(AND($F15&lt;&gt;"",$E15&gt;=T$5,$E15&lt;=T$5+6),"◆","")</f>
        <v/>
      </c>
    </row>
    <row r="16" customFormat="false" ht="19.5" hidden="false" customHeight="true" outlineLevel="0" collapsed="false">
      <c r="A16" s="27" t="str">
        <f aca="false">WBS_Schedule!A15</f>
        <v>4.2</v>
      </c>
      <c r="B16" s="36" t="str">
        <f aca="false">WBS_Schedule!B15</f>
        <v>User acceptance testing (UAT)</v>
      </c>
      <c r="C16" s="37" t="str">
        <f aca="false">WBS_Schedule!C15</f>
        <v>Testing</v>
      </c>
      <c r="D16" s="38" t="n">
        <f aca="false">WBS_Schedule!E15</f>
        <v>46384</v>
      </c>
      <c r="E16" s="38" t="n">
        <f aca="false">WBS_Schedule!F15</f>
        <v>46388</v>
      </c>
      <c r="F16" s="39" t="str">
        <f aca="false">WBS_Schedule!J15</f>
        <v/>
      </c>
      <c r="G16" s="40" t="str">
        <f aca="false">IF(AND($F16&lt;&gt;"",$E16&gt;=G$5,$E16&lt;=G$5+6),"◆","")</f>
        <v/>
      </c>
      <c r="H16" s="40" t="str">
        <f aca="false">IF(AND($F16&lt;&gt;"",$E16&gt;=H$5,$E16&lt;=H$5+6),"◆","")</f>
        <v/>
      </c>
      <c r="I16" s="40" t="str">
        <f aca="false">IF(AND($F16&lt;&gt;"",$E16&gt;=I$5,$E16&lt;=I$5+6),"◆","")</f>
        <v/>
      </c>
      <c r="J16" s="40" t="str">
        <f aca="false">IF(AND($F16&lt;&gt;"",$E16&gt;=J$5,$E16&lt;=J$5+6),"◆","")</f>
        <v/>
      </c>
      <c r="K16" s="40" t="str">
        <f aca="false">IF(AND($F16&lt;&gt;"",$E16&gt;=K$5,$E16&lt;=K$5+6),"◆","")</f>
        <v/>
      </c>
      <c r="L16" s="40" t="str">
        <f aca="false">IF(AND($F16&lt;&gt;"",$E16&gt;=L$5,$E16&lt;=L$5+6),"◆","")</f>
        <v/>
      </c>
      <c r="M16" s="40" t="str">
        <f aca="false">IF(AND($F16&lt;&gt;"",$E16&gt;=M$5,$E16&lt;=M$5+6),"◆","")</f>
        <v/>
      </c>
      <c r="N16" s="40" t="str">
        <f aca="false">IF(AND($F16&lt;&gt;"",$E16&gt;=N$5,$E16&lt;=N$5+6),"◆","")</f>
        <v/>
      </c>
      <c r="O16" s="40" t="str">
        <f aca="false">IF(AND($F16&lt;&gt;"",$E16&gt;=O$5,$E16&lt;=O$5+6),"◆","")</f>
        <v/>
      </c>
      <c r="P16" s="40" t="str">
        <f aca="false">IF(AND($F16&lt;&gt;"",$E16&gt;=P$5,$E16&lt;=P$5+6),"◆","")</f>
        <v/>
      </c>
      <c r="Q16" s="40" t="str">
        <f aca="false">IF(AND($F16&lt;&gt;"",$E16&gt;=Q$5,$E16&lt;=Q$5+6),"◆","")</f>
        <v/>
      </c>
      <c r="R16" s="40" t="str">
        <f aca="false">IF(AND($F16&lt;&gt;"",$E16&gt;=R$5,$E16&lt;=R$5+6),"◆","")</f>
        <v/>
      </c>
      <c r="S16" s="40" t="str">
        <f aca="false">IF(AND($F16&lt;&gt;"",$E16&gt;=S$5,$E16&lt;=S$5+6),"◆","")</f>
        <v/>
      </c>
      <c r="T16" s="40" t="str">
        <f aca="false">IF(AND($F16&lt;&gt;"",$E16&gt;=T$5,$E16&lt;=T$5+6),"◆","")</f>
        <v/>
      </c>
    </row>
    <row r="17" customFormat="false" ht="19.5" hidden="false" customHeight="true" outlineLevel="0" collapsed="false">
      <c r="A17" s="27" t="str">
        <f aca="false">WBS_Schedule!A16</f>
        <v>4.3</v>
      </c>
      <c r="B17" s="36" t="str">
        <f aca="false">WBS_Schedule!B16</f>
        <v>Fix defects and retest</v>
      </c>
      <c r="C17" s="37" t="str">
        <f aca="false">WBS_Schedule!C16</f>
        <v>Testing</v>
      </c>
      <c r="D17" s="38" t="n">
        <f aca="false">WBS_Schedule!E16</f>
        <v>46391</v>
      </c>
      <c r="E17" s="38" t="n">
        <f aca="false">WBS_Schedule!F16</f>
        <v>46394</v>
      </c>
      <c r="F17" s="39" t="str">
        <f aca="false">WBS_Schedule!J16</f>
        <v>UAT sign-off</v>
      </c>
      <c r="G17" s="40" t="str">
        <f aca="false">IF(AND($F17&lt;&gt;"",$E17&gt;=G$5,$E17&lt;=G$5+6),"◆","")</f>
        <v/>
      </c>
      <c r="H17" s="40" t="str">
        <f aca="false">IF(AND($F17&lt;&gt;"",$E17&gt;=H$5,$E17&lt;=H$5+6),"◆","")</f>
        <v/>
      </c>
      <c r="I17" s="40" t="str">
        <f aca="false">IF(AND($F17&lt;&gt;"",$E17&gt;=I$5,$E17&lt;=I$5+6),"◆","")</f>
        <v/>
      </c>
      <c r="J17" s="40" t="str">
        <f aca="false">IF(AND($F17&lt;&gt;"",$E17&gt;=J$5,$E17&lt;=J$5+6),"◆","")</f>
        <v/>
      </c>
      <c r="K17" s="40" t="str">
        <f aca="false">IF(AND($F17&lt;&gt;"",$E17&gt;=K$5,$E17&lt;=K$5+6),"◆","")</f>
        <v/>
      </c>
      <c r="L17" s="40" t="str">
        <f aca="false">IF(AND($F17&lt;&gt;"",$E17&gt;=L$5,$E17&lt;=L$5+6),"◆","")</f>
        <v/>
      </c>
      <c r="M17" s="40" t="str">
        <f aca="false">IF(AND($F17&lt;&gt;"",$E17&gt;=M$5,$E17&lt;=M$5+6),"◆","")</f>
        <v/>
      </c>
      <c r="N17" s="40" t="str">
        <f aca="false">IF(AND($F17&lt;&gt;"",$E17&gt;=N$5,$E17&lt;=N$5+6),"◆","")</f>
        <v/>
      </c>
      <c r="O17" s="40" t="str">
        <f aca="false">IF(AND($F17&lt;&gt;"",$E17&gt;=O$5,$E17&lt;=O$5+6),"◆","")</f>
        <v/>
      </c>
      <c r="P17" s="40" t="str">
        <f aca="false">IF(AND($F17&lt;&gt;"",$E17&gt;=P$5,$E17&lt;=P$5+6),"◆","")</f>
        <v>◆</v>
      </c>
      <c r="Q17" s="40" t="str">
        <f aca="false">IF(AND($F17&lt;&gt;"",$E17&gt;=Q$5,$E17&lt;=Q$5+6),"◆","")</f>
        <v/>
      </c>
      <c r="R17" s="40" t="str">
        <f aca="false">IF(AND($F17&lt;&gt;"",$E17&gt;=R$5,$E17&lt;=R$5+6),"◆","")</f>
        <v/>
      </c>
      <c r="S17" s="40" t="str">
        <f aca="false">IF(AND($F17&lt;&gt;"",$E17&gt;=S$5,$E17&lt;=S$5+6),"◆","")</f>
        <v/>
      </c>
      <c r="T17" s="40" t="str">
        <f aca="false">IF(AND($F17&lt;&gt;"",$E17&gt;=T$5,$E17&lt;=T$5+6),"◆","")</f>
        <v/>
      </c>
    </row>
    <row r="18" customFormat="false" ht="19.5" hidden="false" customHeight="true" outlineLevel="0" collapsed="false">
      <c r="A18" s="27" t="str">
        <f aca="false">WBS_Schedule!A17</f>
        <v>5.1</v>
      </c>
      <c r="B18" s="36" t="str">
        <f aca="false">WBS_Schedule!B17</f>
        <v>Go-live cutover</v>
      </c>
      <c r="C18" s="37" t="str">
        <f aca="false">WBS_Schedule!C17</f>
        <v>Go-Live</v>
      </c>
      <c r="D18" s="38" t="n">
        <f aca="false">WBS_Schedule!E17</f>
        <v>46395</v>
      </c>
      <c r="E18" s="38" t="n">
        <f aca="false">WBS_Schedule!F17</f>
        <v>46398</v>
      </c>
      <c r="F18" s="39" t="str">
        <f aca="false">WBS_Schedule!J17</f>
        <v>Go-live</v>
      </c>
      <c r="G18" s="40" t="str">
        <f aca="false">IF(AND($F18&lt;&gt;"",$E18&gt;=G$5,$E18&lt;=G$5+6),"◆","")</f>
        <v/>
      </c>
      <c r="H18" s="40" t="str">
        <f aca="false">IF(AND($F18&lt;&gt;"",$E18&gt;=H$5,$E18&lt;=H$5+6),"◆","")</f>
        <v/>
      </c>
      <c r="I18" s="40" t="str">
        <f aca="false">IF(AND($F18&lt;&gt;"",$E18&gt;=I$5,$E18&lt;=I$5+6),"◆","")</f>
        <v/>
      </c>
      <c r="J18" s="40" t="str">
        <f aca="false">IF(AND($F18&lt;&gt;"",$E18&gt;=J$5,$E18&lt;=J$5+6),"◆","")</f>
        <v/>
      </c>
      <c r="K18" s="40" t="str">
        <f aca="false">IF(AND($F18&lt;&gt;"",$E18&gt;=K$5,$E18&lt;=K$5+6),"◆","")</f>
        <v/>
      </c>
      <c r="L18" s="40" t="str">
        <f aca="false">IF(AND($F18&lt;&gt;"",$E18&gt;=L$5,$E18&lt;=L$5+6),"◆","")</f>
        <v/>
      </c>
      <c r="M18" s="40" t="str">
        <f aca="false">IF(AND($F18&lt;&gt;"",$E18&gt;=M$5,$E18&lt;=M$5+6),"◆","")</f>
        <v/>
      </c>
      <c r="N18" s="40" t="str">
        <f aca="false">IF(AND($F18&lt;&gt;"",$E18&gt;=N$5,$E18&lt;=N$5+6),"◆","")</f>
        <v/>
      </c>
      <c r="O18" s="40" t="str">
        <f aca="false">IF(AND($F18&lt;&gt;"",$E18&gt;=O$5,$E18&lt;=O$5+6),"◆","")</f>
        <v/>
      </c>
      <c r="P18" s="40" t="str">
        <f aca="false">IF(AND($F18&lt;&gt;"",$E18&gt;=P$5,$E18&lt;=P$5+6),"◆","")</f>
        <v/>
      </c>
      <c r="Q18" s="40" t="str">
        <f aca="false">IF(AND($F18&lt;&gt;"",$E18&gt;=Q$5,$E18&lt;=Q$5+6),"◆","")</f>
        <v>◆</v>
      </c>
      <c r="R18" s="40" t="str">
        <f aca="false">IF(AND($F18&lt;&gt;"",$E18&gt;=R$5,$E18&lt;=R$5+6),"◆","")</f>
        <v/>
      </c>
      <c r="S18" s="40" t="str">
        <f aca="false">IF(AND($F18&lt;&gt;"",$E18&gt;=S$5,$E18&lt;=S$5+6),"◆","")</f>
        <v/>
      </c>
      <c r="T18" s="40" t="str">
        <f aca="false">IF(AND($F18&lt;&gt;"",$E18&gt;=T$5,$E18&lt;=T$5+6),"◆","")</f>
        <v/>
      </c>
    </row>
    <row r="19" customFormat="false" ht="19.5" hidden="false" customHeight="true" outlineLevel="0" collapsed="false">
      <c r="A19" s="27" t="str">
        <f aca="false">WBS_Schedule!A18</f>
        <v>5.2</v>
      </c>
      <c r="B19" s="36" t="str">
        <f aca="false">WBS_Schedule!B18</f>
        <v>Post go-live monitoring</v>
      </c>
      <c r="C19" s="37" t="str">
        <f aca="false">WBS_Schedule!C18</f>
        <v>Go-Live</v>
      </c>
      <c r="D19" s="38" t="n">
        <f aca="false">WBS_Schedule!E18</f>
        <v>46399</v>
      </c>
      <c r="E19" s="38" t="n">
        <f aca="false">WBS_Schedule!F18</f>
        <v>46402</v>
      </c>
      <c r="F19" s="39" t="str">
        <f aca="false">WBS_Schedule!J18</f>
        <v/>
      </c>
      <c r="G19" s="40" t="str">
        <f aca="false">IF(AND($F19&lt;&gt;"",$E19&gt;=G$5,$E19&lt;=G$5+6),"◆","")</f>
        <v/>
      </c>
      <c r="H19" s="40" t="str">
        <f aca="false">IF(AND($F19&lt;&gt;"",$E19&gt;=H$5,$E19&lt;=H$5+6),"◆","")</f>
        <v/>
      </c>
      <c r="I19" s="40" t="str">
        <f aca="false">IF(AND($F19&lt;&gt;"",$E19&gt;=I$5,$E19&lt;=I$5+6),"◆","")</f>
        <v/>
      </c>
      <c r="J19" s="40" t="str">
        <f aca="false">IF(AND($F19&lt;&gt;"",$E19&gt;=J$5,$E19&lt;=J$5+6),"◆","")</f>
        <v/>
      </c>
      <c r="K19" s="40" t="str">
        <f aca="false">IF(AND($F19&lt;&gt;"",$E19&gt;=K$5,$E19&lt;=K$5+6),"◆","")</f>
        <v/>
      </c>
      <c r="L19" s="40" t="str">
        <f aca="false">IF(AND($F19&lt;&gt;"",$E19&gt;=L$5,$E19&lt;=L$5+6),"◆","")</f>
        <v/>
      </c>
      <c r="M19" s="40" t="str">
        <f aca="false">IF(AND($F19&lt;&gt;"",$E19&gt;=M$5,$E19&lt;=M$5+6),"◆","")</f>
        <v/>
      </c>
      <c r="N19" s="40" t="str">
        <f aca="false">IF(AND($F19&lt;&gt;"",$E19&gt;=N$5,$E19&lt;=N$5+6),"◆","")</f>
        <v/>
      </c>
      <c r="O19" s="40" t="str">
        <f aca="false">IF(AND($F19&lt;&gt;"",$E19&gt;=O$5,$E19&lt;=O$5+6),"◆","")</f>
        <v/>
      </c>
      <c r="P19" s="40" t="str">
        <f aca="false">IF(AND($F19&lt;&gt;"",$E19&gt;=P$5,$E19&lt;=P$5+6),"◆","")</f>
        <v/>
      </c>
      <c r="Q19" s="40" t="str">
        <f aca="false">IF(AND($F19&lt;&gt;"",$E19&gt;=Q$5,$E19&lt;=Q$5+6),"◆","")</f>
        <v/>
      </c>
      <c r="R19" s="40" t="str">
        <f aca="false">IF(AND($F19&lt;&gt;"",$E19&gt;=R$5,$E19&lt;=R$5+6),"◆","")</f>
        <v/>
      </c>
      <c r="S19" s="40" t="str">
        <f aca="false">IF(AND($F19&lt;&gt;"",$E19&gt;=S$5,$E19&lt;=S$5+6),"◆","")</f>
        <v/>
      </c>
      <c r="T19" s="40" t="str">
        <f aca="false">IF(AND($F19&lt;&gt;"",$E19&gt;=T$5,$E19&lt;=T$5+6),"◆","")</f>
        <v/>
      </c>
    </row>
    <row r="20" customFormat="false" ht="19.5" hidden="false" customHeight="true" outlineLevel="0" collapsed="false">
      <c r="A20" s="27" t="str">
        <f aca="false">WBS_Schedule!A19</f>
        <v>6.1</v>
      </c>
      <c r="B20" s="36" t="str">
        <f aca="false">WBS_Schedule!B19</f>
        <v>Handover and documentation</v>
      </c>
      <c r="C20" s="37" t="str">
        <f aca="false">WBS_Schedule!C19</f>
        <v>Handover</v>
      </c>
      <c r="D20" s="38" t="n">
        <f aca="false">WBS_Schedule!E19</f>
        <v>46405</v>
      </c>
      <c r="E20" s="38" t="n">
        <f aca="false">WBS_Schedule!F19</f>
        <v>46407</v>
      </c>
      <c r="F20" s="39" t="str">
        <f aca="false">WBS_Schedule!J19</f>
        <v/>
      </c>
      <c r="G20" s="40" t="str">
        <f aca="false">IF(AND($F20&lt;&gt;"",$E20&gt;=G$5,$E20&lt;=G$5+6),"◆","")</f>
        <v/>
      </c>
      <c r="H20" s="40" t="str">
        <f aca="false">IF(AND($F20&lt;&gt;"",$E20&gt;=H$5,$E20&lt;=H$5+6),"◆","")</f>
        <v/>
      </c>
      <c r="I20" s="40" t="str">
        <f aca="false">IF(AND($F20&lt;&gt;"",$E20&gt;=I$5,$E20&lt;=I$5+6),"◆","")</f>
        <v/>
      </c>
      <c r="J20" s="40" t="str">
        <f aca="false">IF(AND($F20&lt;&gt;"",$E20&gt;=J$5,$E20&lt;=J$5+6),"◆","")</f>
        <v/>
      </c>
      <c r="K20" s="40" t="str">
        <f aca="false">IF(AND($F20&lt;&gt;"",$E20&gt;=K$5,$E20&lt;=K$5+6),"◆","")</f>
        <v/>
      </c>
      <c r="L20" s="40" t="str">
        <f aca="false">IF(AND($F20&lt;&gt;"",$E20&gt;=L$5,$E20&lt;=L$5+6),"◆","")</f>
        <v/>
      </c>
      <c r="M20" s="40" t="str">
        <f aca="false">IF(AND($F20&lt;&gt;"",$E20&gt;=M$5,$E20&lt;=M$5+6),"◆","")</f>
        <v/>
      </c>
      <c r="N20" s="40" t="str">
        <f aca="false">IF(AND($F20&lt;&gt;"",$E20&gt;=N$5,$E20&lt;=N$5+6),"◆","")</f>
        <v/>
      </c>
      <c r="O20" s="40" t="str">
        <f aca="false">IF(AND($F20&lt;&gt;"",$E20&gt;=O$5,$E20&lt;=O$5+6),"◆","")</f>
        <v/>
      </c>
      <c r="P20" s="40" t="str">
        <f aca="false">IF(AND($F20&lt;&gt;"",$E20&gt;=P$5,$E20&lt;=P$5+6),"◆","")</f>
        <v/>
      </c>
      <c r="Q20" s="40" t="str">
        <f aca="false">IF(AND($F20&lt;&gt;"",$E20&gt;=Q$5,$E20&lt;=Q$5+6),"◆","")</f>
        <v/>
      </c>
      <c r="R20" s="40" t="str">
        <f aca="false">IF(AND($F20&lt;&gt;"",$E20&gt;=R$5,$E20&lt;=R$5+6),"◆","")</f>
        <v/>
      </c>
      <c r="S20" s="40" t="str">
        <f aca="false">IF(AND($F20&lt;&gt;"",$E20&gt;=S$5,$E20&lt;=S$5+6),"◆","")</f>
        <v/>
      </c>
      <c r="T20" s="40" t="str">
        <f aca="false">IF(AND($F20&lt;&gt;"",$E20&gt;=T$5,$E20&lt;=T$5+6),"◆","")</f>
        <v/>
      </c>
    </row>
    <row r="21" customFormat="false" ht="19.5" hidden="false" customHeight="true" outlineLevel="0" collapsed="false">
      <c r="A21" s="27" t="str">
        <f aca="false">WBS_Schedule!A20</f>
        <v>6.2</v>
      </c>
      <c r="B21" s="36" t="str">
        <f aca="false">WBS_Schedule!B20</f>
        <v>Project closure and lessons learned</v>
      </c>
      <c r="C21" s="37" t="str">
        <f aca="false">WBS_Schedule!C20</f>
        <v>Handover</v>
      </c>
      <c r="D21" s="38" t="n">
        <f aca="false">WBS_Schedule!E20</f>
        <v>46408</v>
      </c>
      <c r="E21" s="38" t="n">
        <f aca="false">WBS_Schedule!F20</f>
        <v>46409</v>
      </c>
      <c r="F21" s="39" t="str">
        <f aca="false">WBS_Schedule!J20</f>
        <v>Project closed</v>
      </c>
      <c r="G21" s="40" t="str">
        <f aca="false">IF(AND($F21&lt;&gt;"",$E21&gt;=G$5,$E21&lt;=G$5+6),"◆","")</f>
        <v/>
      </c>
      <c r="H21" s="40" t="str">
        <f aca="false">IF(AND($F21&lt;&gt;"",$E21&gt;=H$5,$E21&lt;=H$5+6),"◆","")</f>
        <v/>
      </c>
      <c r="I21" s="40" t="str">
        <f aca="false">IF(AND($F21&lt;&gt;"",$E21&gt;=I$5,$E21&lt;=I$5+6),"◆","")</f>
        <v/>
      </c>
      <c r="J21" s="40" t="str">
        <f aca="false">IF(AND($F21&lt;&gt;"",$E21&gt;=J$5,$E21&lt;=J$5+6),"◆","")</f>
        <v/>
      </c>
      <c r="K21" s="40" t="str">
        <f aca="false">IF(AND($F21&lt;&gt;"",$E21&gt;=K$5,$E21&lt;=K$5+6),"◆","")</f>
        <v/>
      </c>
      <c r="L21" s="40" t="str">
        <f aca="false">IF(AND($F21&lt;&gt;"",$E21&gt;=L$5,$E21&lt;=L$5+6),"◆","")</f>
        <v/>
      </c>
      <c r="M21" s="40" t="str">
        <f aca="false">IF(AND($F21&lt;&gt;"",$E21&gt;=M$5,$E21&lt;=M$5+6),"◆","")</f>
        <v/>
      </c>
      <c r="N21" s="40" t="str">
        <f aca="false">IF(AND($F21&lt;&gt;"",$E21&gt;=N$5,$E21&lt;=N$5+6),"◆","")</f>
        <v/>
      </c>
      <c r="O21" s="40" t="str">
        <f aca="false">IF(AND($F21&lt;&gt;"",$E21&gt;=O$5,$E21&lt;=O$5+6),"◆","")</f>
        <v/>
      </c>
      <c r="P21" s="40" t="str">
        <f aca="false">IF(AND($F21&lt;&gt;"",$E21&gt;=P$5,$E21&lt;=P$5+6),"◆","")</f>
        <v/>
      </c>
      <c r="Q21" s="40" t="str">
        <f aca="false">IF(AND($F21&lt;&gt;"",$E21&gt;=Q$5,$E21&lt;=Q$5+6),"◆","")</f>
        <v/>
      </c>
      <c r="R21" s="40" t="str">
        <f aca="false">IF(AND($F21&lt;&gt;"",$E21&gt;=R$5,$E21&lt;=R$5+6),"◆","")</f>
        <v>◆</v>
      </c>
      <c r="S21" s="40" t="str">
        <f aca="false">IF(AND($F21&lt;&gt;"",$E21&gt;=S$5,$E21&lt;=S$5+6),"◆","")</f>
        <v/>
      </c>
      <c r="T21" s="40" t="str">
        <f aca="false">IF(AND($F21&lt;&gt;"",$E21&gt;=T$5,$E21&lt;=T$5+6),"◆","")</f>
        <v/>
      </c>
    </row>
    <row r="23" customFormat="false" ht="15" hidden="false" customHeight="false" outlineLevel="0" collapsed="false">
      <c r="B23" s="29" t="s">
        <v>114</v>
      </c>
    </row>
    <row r="24" customFormat="false" ht="15" hidden="false" customHeight="false" outlineLevel="0" collapsed="false">
      <c r="C24" s="41" t="s">
        <v>58</v>
      </c>
    </row>
    <row r="25" customFormat="false" ht="15" hidden="false" customHeight="false" outlineLevel="0" collapsed="false">
      <c r="C25" s="42" t="s">
        <v>67</v>
      </c>
    </row>
    <row r="26" customFormat="false" ht="15" hidden="false" customHeight="false" outlineLevel="0" collapsed="false">
      <c r="C26" s="43" t="s">
        <v>74</v>
      </c>
    </row>
    <row r="27" customFormat="false" ht="15" hidden="false" customHeight="false" outlineLevel="0" collapsed="false">
      <c r="C27" s="44" t="s">
        <v>81</v>
      </c>
    </row>
    <row r="28" customFormat="false" ht="15" hidden="false" customHeight="false" outlineLevel="0" collapsed="false">
      <c r="C28" s="45" t="s">
        <v>88</v>
      </c>
    </row>
    <row r="29" customFormat="false" ht="15" hidden="false" customHeight="false" outlineLevel="0" collapsed="false">
      <c r="C29" s="46" t="s">
        <v>93</v>
      </c>
    </row>
    <row r="30" customFormat="false" ht="15" hidden="false" customHeight="false" outlineLevel="0" collapsed="false">
      <c r="C30" s="47" t="s">
        <v>115</v>
      </c>
    </row>
  </sheetData>
  <mergeCells count="2">
    <mergeCell ref="A1:T1"/>
    <mergeCell ref="A2:T2"/>
  </mergeCells>
  <conditionalFormatting sqref="G6:T21">
    <cfRule type="expression" priority="2" aboveAverage="0" equalAverage="0" bottom="0" percent="0" rank="0" text="" dxfId="0">
      <formula>AND($C6="Planning",$D6&lt;=G$5+6,$E6&gt;=G$5)</formula>
    </cfRule>
    <cfRule type="expression" priority="3" aboveAverage="0" equalAverage="0" bottom="0" percent="0" rank="0" text="" dxfId="1">
      <formula>AND($C6="Setup",$D6&lt;=G$5+6,$E6&gt;=G$5)</formula>
    </cfRule>
    <cfRule type="expression" priority="4" aboveAverage="0" equalAverage="0" bottom="0" percent="0" rank="0" text="" dxfId="2">
      <formula>AND($C6="Migration",$D6&lt;=G$5+6,$E6&gt;=G$5)</formula>
    </cfRule>
    <cfRule type="expression" priority="5" aboveAverage="0" equalAverage="0" bottom="0" percent="0" rank="0" text="" dxfId="3">
      <formula>AND($C6="Testing",$D6&lt;=G$5+6,$E6&gt;=G$5)</formula>
    </cfRule>
    <cfRule type="expression" priority="6" aboveAverage="0" equalAverage="0" bottom="0" percent="0" rank="0" text="" dxfId="4">
      <formula>AND($C6="Go-Live",$D6&lt;=G$5+6,$E6&gt;=G$5)</formula>
    </cfRule>
    <cfRule type="expression" priority="7" aboveAverage="0" equalAverage="0" bottom="0" percent="0" rank="0" text="" dxfId="5">
      <formula>AND($C6="Handover",$D6&lt;=G$5+6,$E6&gt;=G$5)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3" min="3" style="0" width="38"/>
    <col collapsed="false" customWidth="true" hidden="false" outlineLevel="0" max="4" min="4" style="0" width="15"/>
    <col collapsed="false" customWidth="true" hidden="false" outlineLevel="0" max="5" min="5" style="0" width="14"/>
  </cols>
  <sheetData>
    <row r="1" customFormat="false" ht="30" hidden="false" customHeight="true" outlineLevel="0" collapsed="false">
      <c r="A1" s="19" t="s">
        <v>116</v>
      </c>
      <c r="B1" s="19"/>
      <c r="C1" s="19"/>
      <c r="D1" s="19"/>
      <c r="E1" s="19"/>
    </row>
    <row r="2" customFormat="false" ht="15" hidden="false" customHeight="false" outlineLevel="0" collapsed="false">
      <c r="A2" s="33" t="s">
        <v>117</v>
      </c>
      <c r="B2" s="33"/>
      <c r="C2" s="33"/>
      <c r="D2" s="33"/>
      <c r="E2" s="33"/>
    </row>
    <row r="4" customFormat="false" ht="24" hidden="false" customHeight="true" outlineLevel="0" collapsed="false">
      <c r="A4" s="12" t="s">
        <v>54</v>
      </c>
      <c r="B4" s="12" t="s">
        <v>118</v>
      </c>
      <c r="C4" s="12" t="s">
        <v>119</v>
      </c>
      <c r="D4" s="12" t="s">
        <v>120</v>
      </c>
      <c r="E4" s="12" t="s">
        <v>121</v>
      </c>
    </row>
    <row r="5" customFormat="false" ht="19.5" hidden="false" customHeight="true" outlineLevel="0" collapsed="false">
      <c r="A5" s="48" t="s">
        <v>122</v>
      </c>
      <c r="B5" s="25" t="s">
        <v>63</v>
      </c>
      <c r="C5" s="36" t="str">
        <f aca="false">INDEX(WBS_Schedule!$B$5:$B$20,MATCH(B5,WBS_Schedule!$A$5:$A$20,0))</f>
        <v>Prepare migration plan</v>
      </c>
      <c r="D5" s="23" t="n">
        <f aca="false">INDEX(WBS_Schedule!$F$5:$F$20,MATCH(B5,WBS_Schedule!$A$5:$A$20,0))</f>
        <v>46342</v>
      </c>
      <c r="E5" s="37" t="str">
        <f aca="false">IF(INDEX(WBS_Schedule!$I$5:$I$20,MATCH(B5,WBS_Schedule!$A$5:$A$20,0))&gt;=1,"Completed","Pending")</f>
        <v>Pending</v>
      </c>
    </row>
    <row r="6" customFormat="false" ht="19.5" hidden="false" customHeight="true" outlineLevel="0" collapsed="false">
      <c r="A6" s="48" t="s">
        <v>123</v>
      </c>
      <c r="B6" s="25" t="s">
        <v>70</v>
      </c>
      <c r="C6" s="36" t="str">
        <f aca="false">INDEX(WBS_Schedule!$B$5:$B$20,MATCH(B6,WBS_Schedule!$A$5:$A$20,0))</f>
        <v>Configure backup and recovery</v>
      </c>
      <c r="D6" s="23" t="n">
        <f aca="false">INDEX(WBS_Schedule!$F$5:$F$20,MATCH(B6,WBS_Schedule!$A$5:$A$20,0))</f>
        <v>46358</v>
      </c>
      <c r="E6" s="37" t="str">
        <f aca="false">IF(INDEX(WBS_Schedule!$I$5:$I$20,MATCH(B6,WBS_Schedule!$A$5:$A$20,0))&gt;=1,"Completed","Pending")</f>
        <v>Pending</v>
      </c>
    </row>
    <row r="7" customFormat="false" ht="19.5" hidden="false" customHeight="true" outlineLevel="0" collapsed="false">
      <c r="A7" s="48" t="s">
        <v>124</v>
      </c>
      <c r="B7" s="25" t="s">
        <v>84</v>
      </c>
      <c r="C7" s="36" t="str">
        <f aca="false">INDEX(WBS_Schedule!$B$5:$B$20,MATCH(B7,WBS_Schedule!$A$5:$A$20,0))</f>
        <v>Fix defects and retest</v>
      </c>
      <c r="D7" s="23" t="n">
        <f aca="false">INDEX(WBS_Schedule!$F$5:$F$20,MATCH(B7,WBS_Schedule!$A$5:$A$20,0))</f>
        <v>46394</v>
      </c>
      <c r="E7" s="37" t="str">
        <f aca="false">IF(INDEX(WBS_Schedule!$I$5:$I$20,MATCH(B7,WBS_Schedule!$A$5:$A$20,0))&gt;=1,"Completed","Pending")</f>
        <v>Pending</v>
      </c>
    </row>
    <row r="8" customFormat="false" ht="19.5" hidden="false" customHeight="true" outlineLevel="0" collapsed="false">
      <c r="A8" s="48" t="s">
        <v>125</v>
      </c>
      <c r="B8" s="25" t="s">
        <v>86</v>
      </c>
      <c r="C8" s="36" t="str">
        <f aca="false">INDEX(WBS_Schedule!$B$5:$B$20,MATCH(B8,WBS_Schedule!$A$5:$A$20,0))</f>
        <v>Go-live cutover</v>
      </c>
      <c r="D8" s="23" t="n">
        <f aca="false">INDEX(WBS_Schedule!$F$5:$F$20,MATCH(B8,WBS_Schedule!$A$5:$A$20,0))</f>
        <v>46398</v>
      </c>
      <c r="E8" s="37" t="str">
        <f aca="false">IF(INDEX(WBS_Schedule!$I$5:$I$20,MATCH(B8,WBS_Schedule!$A$5:$A$20,0))&gt;=1,"Completed","Pending")</f>
        <v>Pending</v>
      </c>
    </row>
    <row r="9" customFormat="false" ht="19.5" hidden="false" customHeight="true" outlineLevel="0" collapsed="false">
      <c r="A9" s="48" t="s">
        <v>126</v>
      </c>
      <c r="B9" s="25" t="s">
        <v>94</v>
      </c>
      <c r="C9" s="36" t="str">
        <f aca="false">INDEX(WBS_Schedule!$B$5:$B$20,MATCH(B9,WBS_Schedule!$A$5:$A$20,0))</f>
        <v>Project closure and lessons learned</v>
      </c>
      <c r="D9" s="23" t="n">
        <f aca="false">INDEX(WBS_Schedule!$F$5:$F$20,MATCH(B9,WBS_Schedule!$A$5:$A$20,0))</f>
        <v>46409</v>
      </c>
      <c r="E9" s="37" t="str">
        <f aca="false">IF(INDEX(WBS_Schedule!$I$5:$I$20,MATCH(B9,WBS_Schedule!$A$5:$A$20,0))&gt;=1,"Completed","Pending")</f>
        <v>Pending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2026-10-12T07:32:30Z</dcterms:created>
  <dc:creator>openpyxl</dc:creator>
  <dc:description/>
  <dc:language>en-US</dc:language>
  <cp:lastModifiedBy/>
  <dcterms:modified xsi:type="dcterms:W3CDTF">2026-10-12T07:32:30Z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